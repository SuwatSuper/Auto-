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01\Desktop\"/>
    </mc:Choice>
  </mc:AlternateContent>
  <xr:revisionPtr revIDLastSave="0" documentId="8_{9A40B8CF-146B-4967-9FC2-0DD4FD22FF96}" xr6:coauthVersionLast="47" xr6:coauthVersionMax="47" xr10:uidLastSave="{00000000-0000-0000-0000-000000000000}"/>
  <bookViews>
    <workbookView xWindow="2340" yWindow="2340" windowWidth="19485" windowHeight="7995" activeTab="6" xr2:uid="{00000000-000D-0000-FFFF-FFFF00000000}"/>
  </bookViews>
  <sheets>
    <sheet name="8.1" sheetId="200" r:id="rId1"/>
    <sheet name="12.1" sheetId="201" r:id="rId2"/>
    <sheet name="20.1" sheetId="202" r:id="rId3"/>
    <sheet name="26.1" sheetId="210" r:id="rId4"/>
    <sheet name="5.2" sheetId="207" r:id="rId5"/>
    <sheet name="12.2" sheetId="208" r:id="rId6"/>
    <sheet name="13.2" sheetId="20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210" l="1"/>
  <c r="N11" i="210"/>
  <c r="N26" i="210" s="1"/>
  <c r="N28" i="210" s="1"/>
  <c r="N12" i="209"/>
  <c r="N11" i="209"/>
  <c r="N12" i="208"/>
  <c r="N11" i="208"/>
  <c r="N12" i="207"/>
  <c r="N11" i="207"/>
  <c r="N12" i="202"/>
  <c r="N11" i="202"/>
  <c r="N12" i="201"/>
  <c r="N11" i="201"/>
  <c r="N12" i="200"/>
  <c r="N11" i="200"/>
  <c r="N29" i="210" l="1"/>
  <c r="N31" i="210" s="1"/>
  <c r="C31" i="210" s="1"/>
  <c r="N26" i="209"/>
  <c r="N28" i="209" s="1"/>
  <c r="N29" i="209" s="1"/>
  <c r="N31" i="209" s="1"/>
  <c r="C31" i="209" s="1"/>
  <c r="N26" i="202"/>
  <c r="N28" i="202" s="1"/>
  <c r="N29" i="202" s="1"/>
  <c r="N31" i="202" s="1"/>
  <c r="C31" i="202" s="1"/>
  <c r="N26" i="201"/>
  <c r="N28" i="201" s="1"/>
  <c r="N29" i="201" s="1"/>
  <c r="N31" i="201" s="1"/>
  <c r="C31" i="201" s="1"/>
  <c r="N26" i="200"/>
  <c r="N28" i="200" s="1"/>
  <c r="N29" i="200" s="1"/>
  <c r="N31" i="200" s="1"/>
  <c r="C31" i="200" s="1"/>
  <c r="N26" i="208"/>
  <c r="N28" i="208" s="1"/>
  <c r="N29" i="208" s="1"/>
  <c r="N31" i="208" s="1"/>
  <c r="C31" i="208" s="1"/>
  <c r="N26" i="207"/>
  <c r="N28" i="207" s="1"/>
  <c r="N29" i="207" s="1"/>
  <c r="N31" i="207" s="1"/>
  <c r="C31" i="207" s="1"/>
</calcChain>
</file>

<file path=xl/sharedStrings.xml><?xml version="1.0" encoding="utf-8"?>
<sst xmlns="http://schemas.openxmlformats.org/spreadsheetml/2006/main" count="63" uniqueCount="17">
  <si>
    <t xml:space="preserve">               บริษัท ฉี อัน คอนสตรัคชั่น กรุ๊ป(ไทยแลนด์) จำกัด (สำนักงานใหญ่)</t>
  </si>
  <si>
    <t>เลขที่ 5/32 ซอย ศรีนครินทร์ 46/1 (ปราโมทย์) แขวงหนองบอน</t>
  </si>
  <si>
    <t>เขตประเวศ กรุงเทพมหานคร  10250</t>
  </si>
  <si>
    <t>เลขประจำตัวผู้เสียภาษีอากร 0105566206726</t>
  </si>
  <si>
    <t>ท่อร้อยสายไฟชุบสังกะสี DN20*4M</t>
  </si>
  <si>
    <t>ท่อร้อยสายไฟชุบสังกะสีDN25*4M</t>
  </si>
  <si>
    <t>ท่อน</t>
  </si>
  <si>
    <t>ท่อร้อยสายไฟชุบสังกะสีDN32*4M</t>
  </si>
  <si>
    <t>ท่อร้อยสายไฟชุบสังกะสีDN40*4M</t>
  </si>
  <si>
    <t>ท่อร้อยสายไฟชุบสังกะสีDN50*4M</t>
  </si>
  <si>
    <t>IV6901126</t>
  </si>
  <si>
    <t>IV6901219</t>
  </si>
  <si>
    <t>IV6901489</t>
  </si>
  <si>
    <t>IV6901662</t>
  </si>
  <si>
    <t>IV6902112</t>
  </si>
  <si>
    <t>IV6902259</t>
  </si>
  <si>
    <t>IV6902297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</si>
</sst>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color theme="1"/>
      <name val="Angsana New"/>
      <family val="1"/>
    </font>
    <font>
      <sz val="14"/>
      <color rgb="FFFF0000"/>
      <name val="Angsana New"/>
      <family val="1"/>
    </font>
    <font>
      <sz val="14"/>
      <name val="Angsana New"/>
      <family val="1"/>
    </font>
    <font>
      <sz val="14"/>
      <color theme="1"/>
      <name val="Angsana New"/>
      <family val="1"/>
      <charset val="222"/>
    </font>
    <font>
      <sz val="10"/>
      <name val="Arial"/>
      <family val="2"/>
    </font>
    <font>
      <sz val="14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right"/>
    </xf>
    <xf numFmtId="43" fontId="2" fillId="0" borderId="0" xfId="1" applyFont="1" applyAlignment="1">
      <alignment horizontal="right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43" fontId="2" fillId="0" borderId="0" xfId="1" applyFont="1"/>
    <xf numFmtId="1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1" applyNumberFormat="1" applyFont="1" applyAlignment="1">
      <alignment horizontal="center"/>
    </xf>
    <xf numFmtId="4" fontId="4" fillId="0" borderId="0" xfId="0" applyNumberFormat="1" applyFont="1" applyAlignment="1">
      <alignment horizontal="right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4" fontId="5" fillId="0" borderId="0" xfId="1" applyNumberFormat="1" applyFont="1" applyFill="1" applyAlignment="1">
      <alignment horizontal="right"/>
    </xf>
    <xf numFmtId="4" fontId="5" fillId="0" borderId="0" xfId="0" applyNumberFormat="1" applyFont="1"/>
    <xf numFmtId="0" fontId="7" fillId="0" borderId="0" xfId="2" applyFont="1" applyAlignment="1">
      <alignment horizontal="left" vertical="center"/>
    </xf>
    <xf numFmtId="43" fontId="5" fillId="0" borderId="0" xfId="1" applyFont="1" applyAlignment="1"/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ปกติ 2" xfId="2" xr:uid="{FBA5D5B7-442C-434F-90F6-7570FE2448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270A-346F-485F-9776-A9499E41DDEF}">
  <dimension ref="A1:O35"/>
  <sheetViews>
    <sheetView view="pageBreakPreview" zoomScale="80" zoomScaleNormal="100" zoomScaleSheetLayoutView="80" workbookViewId="0">
      <selection activeCell="L6" sqref="L6"/>
    </sheetView>
  </sheetViews>
  <sheetFormatPr defaultColWidth="8.85546875" defaultRowHeight="21"/>
  <cols>
    <col min="1" max="1" width="9" style="1" bestFit="1" customWidth="1"/>
    <col min="2" max="2" width="3.42578125" style="1" customWidth="1"/>
    <col min="3" max="4" width="8.85546875" style="1"/>
    <col min="5" max="5" width="11.140625" style="1" customWidth="1"/>
    <col min="6" max="6" width="5.85546875" style="1" customWidth="1"/>
    <col min="7" max="7" width="5.5703125" style="1" customWidth="1"/>
    <col min="8" max="8" width="2.5703125" style="1" customWidth="1"/>
    <col min="9" max="10" width="5.5703125" style="1" customWidth="1"/>
    <col min="11" max="11" width="9" style="1" customWidth="1"/>
    <col min="12" max="12" width="8.5703125" style="1" customWidth="1"/>
    <col min="13" max="13" width="9.85546875" style="3" customWidth="1"/>
    <col min="14" max="14" width="11.7109375" style="1" customWidth="1"/>
    <col min="15" max="16384" width="8.85546875" style="1"/>
  </cols>
  <sheetData>
    <row r="1" spans="1:15" ht="55.5" customHeight="1"/>
    <row r="2" spans="1:15" ht="24.75" customHeight="1"/>
    <row r="3" spans="1:15">
      <c r="A3" s="9" t="s">
        <v>0</v>
      </c>
      <c r="B3" s="9"/>
      <c r="L3" s="4" t="s">
        <v>10</v>
      </c>
      <c r="N3" s="11"/>
      <c r="O3" s="11"/>
    </row>
    <row r="4" spans="1:15">
      <c r="A4" s="9" t="s">
        <v>1</v>
      </c>
      <c r="B4" s="9"/>
      <c r="L4" s="4"/>
    </row>
    <row r="5" spans="1:15">
      <c r="A5" s="9" t="s">
        <v>2</v>
      </c>
      <c r="B5" s="9"/>
      <c r="L5" s="11">
        <v>244357</v>
      </c>
      <c r="M5" s="5"/>
    </row>
    <row r="6" spans="1:15">
      <c r="A6" s="9" t="s">
        <v>3</v>
      </c>
      <c r="B6" s="9"/>
      <c r="K6" s="2"/>
      <c r="L6" s="4"/>
      <c r="N6" s="12"/>
    </row>
    <row r="7" spans="1:15">
      <c r="B7" s="9"/>
      <c r="O7" s="5"/>
    </row>
    <row r="10" spans="1:15">
      <c r="A10" s="4"/>
      <c r="K10" s="2"/>
    </row>
    <row r="11" spans="1:15">
      <c r="A11" s="4">
        <v>1</v>
      </c>
      <c r="B11" s="27" t="s">
        <v>4</v>
      </c>
      <c r="G11" s="2"/>
      <c r="H11" s="2"/>
      <c r="I11" s="2"/>
      <c r="K11" s="22">
        <v>1000</v>
      </c>
      <c r="L11" s="24" t="s">
        <v>6</v>
      </c>
      <c r="M11" s="28">
        <v>86</v>
      </c>
      <c r="N11" s="6">
        <f>K11*M11</f>
        <v>86000</v>
      </c>
      <c r="O11" s="7"/>
    </row>
    <row r="12" spans="1:15">
      <c r="A12" s="4">
        <v>2</v>
      </c>
      <c r="B12" s="27" t="s">
        <v>5</v>
      </c>
      <c r="G12" s="2"/>
      <c r="H12" s="2"/>
      <c r="I12" s="2"/>
      <c r="K12" s="22">
        <v>500</v>
      </c>
      <c r="L12" s="24" t="s">
        <v>6</v>
      </c>
      <c r="M12" s="28">
        <v>118</v>
      </c>
      <c r="N12" s="6">
        <f>K12*M12</f>
        <v>59000</v>
      </c>
      <c r="O12" s="7"/>
    </row>
    <row r="13" spans="1:15">
      <c r="A13" s="4"/>
      <c r="B13" s="21"/>
      <c r="G13" s="2"/>
      <c r="H13" s="2"/>
      <c r="I13" s="2"/>
      <c r="K13" s="22"/>
      <c r="L13" s="21"/>
      <c r="M13" s="26"/>
      <c r="N13" s="6"/>
      <c r="O13" s="7"/>
    </row>
    <row r="14" spans="1:15">
      <c r="A14" s="4"/>
      <c r="B14" s="18"/>
      <c r="G14" s="2"/>
      <c r="H14" s="2"/>
      <c r="I14" s="2"/>
      <c r="K14" s="19"/>
      <c r="L14" s="4"/>
      <c r="M14" s="20"/>
      <c r="N14" s="6"/>
      <c r="O14" s="7"/>
    </row>
    <row r="15" spans="1:15">
      <c r="A15" s="4"/>
      <c r="G15" s="2"/>
      <c r="H15" s="2"/>
      <c r="I15" s="2"/>
      <c r="K15" s="14"/>
      <c r="L15" s="4"/>
      <c r="M15" s="15"/>
      <c r="N15" s="6"/>
      <c r="O15" s="7"/>
    </row>
    <row r="16" spans="1:15">
      <c r="A16" s="4"/>
      <c r="G16" s="7"/>
      <c r="H16" s="7"/>
      <c r="I16" s="7"/>
      <c r="K16" s="14"/>
      <c r="M16" s="15"/>
      <c r="N16" s="6"/>
      <c r="O16" s="7"/>
    </row>
    <row r="17" spans="1:15">
      <c r="A17" s="4"/>
      <c r="G17" s="2"/>
      <c r="H17" s="2"/>
      <c r="I17" s="2"/>
      <c r="K17" s="8"/>
      <c r="M17" s="13"/>
      <c r="N17" s="6"/>
      <c r="O17" s="7"/>
    </row>
    <row r="18" spans="1:15">
      <c r="A18" s="4"/>
      <c r="B18" s="4"/>
      <c r="G18" s="2"/>
      <c r="H18" s="2"/>
      <c r="I18" s="2"/>
      <c r="K18" s="8"/>
      <c r="L18" s="16"/>
      <c r="M18" s="13"/>
      <c r="N18" s="6"/>
      <c r="O18" s="7"/>
    </row>
    <row r="19" spans="1:15">
      <c r="A19" s="4"/>
      <c r="B19" s="4"/>
      <c r="G19" s="2"/>
      <c r="H19" s="2"/>
      <c r="I19" s="2"/>
      <c r="K19" s="8"/>
      <c r="L19" s="16"/>
      <c r="M19" s="13"/>
      <c r="N19" s="6"/>
      <c r="O19" s="7"/>
    </row>
    <row r="20" spans="1:15">
      <c r="A20" s="4"/>
      <c r="G20" s="2"/>
      <c r="H20" s="2"/>
      <c r="I20" s="2"/>
      <c r="K20" s="8"/>
      <c r="L20" s="16"/>
      <c r="M20" s="13"/>
      <c r="N20" s="6"/>
      <c r="O20" s="7"/>
    </row>
    <row r="21" spans="1:15">
      <c r="A21" s="4"/>
      <c r="K21" s="3"/>
      <c r="M21" s="13"/>
      <c r="N21" s="6"/>
    </row>
    <row r="22" spans="1:15">
      <c r="A22" s="4"/>
      <c r="K22" s="3"/>
      <c r="L22" s="4"/>
      <c r="M22" s="13"/>
      <c r="N22" s="10"/>
    </row>
    <row r="23" spans="1:15">
      <c r="A23" s="4"/>
      <c r="D23" s="17"/>
      <c r="K23" s="3"/>
      <c r="L23" s="4"/>
      <c r="M23" s="13"/>
      <c r="N23" s="10"/>
    </row>
    <row r="24" spans="1:15">
      <c r="K24" s="3"/>
    </row>
    <row r="25" spans="1:15">
      <c r="K25" s="3"/>
    </row>
    <row r="26" spans="1:15">
      <c r="N26" s="6">
        <f>SUM(N11:N25)</f>
        <v>145000</v>
      </c>
    </row>
    <row r="27" spans="1:15">
      <c r="N27" s="6"/>
    </row>
    <row r="28" spans="1:15">
      <c r="N28" s="6">
        <f>N26</f>
        <v>145000</v>
      </c>
    </row>
    <row r="29" spans="1:15">
      <c r="L29" s="2"/>
      <c r="M29" s="3">
        <v>7</v>
      </c>
      <c r="N29" s="6">
        <f>N28*7%</f>
        <v>10150.000000000002</v>
      </c>
    </row>
    <row r="30" spans="1:15">
      <c r="L30" s="2"/>
      <c r="N30" s="6"/>
    </row>
    <row r="31" spans="1:15">
      <c r="C31" s="1" t="str">
        <f>BAHTTEXT(N31)</f>
        <v>หนึ่งแสนห้าหมื่นห้าพันหนึ่งร้อยห้าสิบบาทถ้วน</v>
      </c>
      <c r="N31" s="6">
        <f>N28+N29</f>
        <v>155150</v>
      </c>
      <c r="O31" s="6"/>
    </row>
    <row r="32" spans="1:15">
      <c r="M32" s="14"/>
    </row>
    <row r="34" spans="13:13">
      <c r="M34" s="15"/>
    </row>
    <row r="35" spans="13:13">
      <c r="M35" s="15"/>
    </row>
  </sheetData>
  <pageMargins left="0" right="0.31496062992126" top="1" bottom="0.74803149606299202" header="0.31496062992126" footer="0.31496062992126"/>
  <pageSetup paperSize="9" scale="9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5D94-7FA6-4BBA-A01E-53D9AA851DE2}">
  <dimension ref="A1:O35"/>
  <sheetViews>
    <sheetView view="pageBreakPreview" zoomScale="80" zoomScaleNormal="100" zoomScaleSheetLayoutView="80" workbookViewId="0">
      <selection activeCell="L6" sqref="L6"/>
    </sheetView>
  </sheetViews>
  <sheetFormatPr defaultColWidth="8.85546875" defaultRowHeight="21"/>
  <cols>
    <col min="1" max="1" width="9" style="1" bestFit="1" customWidth="1"/>
    <col min="2" max="2" width="3.42578125" style="1" customWidth="1"/>
    <col min="3" max="4" width="8.85546875" style="1"/>
    <col min="5" max="5" width="11.140625" style="1" customWidth="1"/>
    <col min="6" max="6" width="5.85546875" style="1" customWidth="1"/>
    <col min="7" max="7" width="5.5703125" style="1" customWidth="1"/>
    <col min="8" max="8" width="2.5703125" style="1" customWidth="1"/>
    <col min="9" max="10" width="5.5703125" style="1" customWidth="1"/>
    <col min="11" max="11" width="9" style="1" customWidth="1"/>
    <col min="12" max="12" width="8.5703125" style="1" customWidth="1"/>
    <col min="13" max="13" width="9.85546875" style="3" customWidth="1"/>
    <col min="14" max="14" width="11.7109375" style="1" customWidth="1"/>
    <col min="15" max="16384" width="8.85546875" style="1"/>
  </cols>
  <sheetData>
    <row r="1" spans="1:15" ht="55.5" customHeight="1"/>
    <row r="2" spans="1:15" ht="24.75" customHeight="1"/>
    <row r="3" spans="1:15">
      <c r="A3" s="9" t="s">
        <v>0</v>
      </c>
      <c r="B3" s="9"/>
      <c r="L3" s="4" t="s">
        <v>11</v>
      </c>
      <c r="N3" s="11"/>
      <c r="O3" s="11"/>
    </row>
    <row r="4" spans="1:15">
      <c r="A4" s="9" t="s">
        <v>1</v>
      </c>
      <c r="B4" s="9"/>
      <c r="L4" s="4"/>
    </row>
    <row r="5" spans="1:15">
      <c r="A5" s="9" t="s">
        <v>2</v>
      </c>
      <c r="B5" s="9"/>
      <c r="L5" s="11">
        <v>244361</v>
      </c>
      <c r="M5" s="5"/>
    </row>
    <row r="6" spans="1:15">
      <c r="A6" s="9" t="s">
        <v>3</v>
      </c>
      <c r="B6" s="9"/>
      <c r="K6" s="2"/>
      <c r="L6" s="4"/>
      <c r="N6" s="12"/>
    </row>
    <row r="7" spans="1:15">
      <c r="B7" s="9"/>
      <c r="O7" s="5"/>
    </row>
    <row r="10" spans="1:15">
      <c r="A10" s="4"/>
      <c r="K10" s="2"/>
    </row>
    <row r="11" spans="1:15">
      <c r="A11" s="4">
        <v>1</v>
      </c>
      <c r="B11" s="27" t="s">
        <v>4</v>
      </c>
      <c r="G11" s="2"/>
      <c r="H11" s="2"/>
      <c r="I11" s="2"/>
      <c r="K11" s="22">
        <v>1000</v>
      </c>
      <c r="L11" s="24" t="s">
        <v>6</v>
      </c>
      <c r="M11" s="28">
        <v>86</v>
      </c>
      <c r="N11" s="6">
        <f>K11*M11</f>
        <v>86000</v>
      </c>
      <c r="O11" s="7"/>
    </row>
    <row r="12" spans="1:15">
      <c r="A12" s="4">
        <v>2</v>
      </c>
      <c r="B12" s="27" t="s">
        <v>7</v>
      </c>
      <c r="G12" s="2"/>
      <c r="H12" s="2"/>
      <c r="I12" s="2"/>
      <c r="K12" s="22">
        <v>100</v>
      </c>
      <c r="L12" s="24" t="s">
        <v>6</v>
      </c>
      <c r="M12" s="28">
        <v>203</v>
      </c>
      <c r="N12" s="6">
        <f>K12*M12</f>
        <v>20300</v>
      </c>
      <c r="O12" s="7"/>
    </row>
    <row r="13" spans="1:15">
      <c r="A13" s="4"/>
      <c r="B13" s="21"/>
      <c r="G13" s="2"/>
      <c r="H13" s="2"/>
      <c r="I13" s="2"/>
      <c r="K13" s="22"/>
      <c r="L13" s="21"/>
      <c r="M13" s="26"/>
      <c r="N13" s="6"/>
      <c r="O13" s="7"/>
    </row>
    <row r="14" spans="1:15">
      <c r="A14" s="4"/>
      <c r="B14" s="21"/>
      <c r="G14" s="2"/>
      <c r="H14" s="2"/>
      <c r="I14" s="2"/>
      <c r="K14" s="22"/>
      <c r="L14" s="21"/>
      <c r="M14" s="26"/>
      <c r="N14" s="6"/>
      <c r="O14" s="7"/>
    </row>
    <row r="15" spans="1:15">
      <c r="A15" s="4"/>
      <c r="G15" s="2"/>
      <c r="H15" s="2"/>
      <c r="I15" s="2"/>
      <c r="K15" s="14"/>
      <c r="L15" s="4"/>
      <c r="M15" s="15"/>
      <c r="N15" s="6"/>
      <c r="O15" s="7"/>
    </row>
    <row r="16" spans="1:15">
      <c r="A16" s="4"/>
      <c r="G16" s="7"/>
      <c r="H16" s="7"/>
      <c r="I16" s="7"/>
      <c r="K16" s="14"/>
      <c r="M16" s="15"/>
      <c r="N16" s="6"/>
      <c r="O16" s="7"/>
    </row>
    <row r="17" spans="1:15">
      <c r="A17" s="4"/>
      <c r="G17" s="2"/>
      <c r="H17" s="2"/>
      <c r="I17" s="2"/>
      <c r="K17" s="8"/>
      <c r="M17" s="13"/>
      <c r="N17" s="6"/>
      <c r="O17" s="7"/>
    </row>
    <row r="18" spans="1:15">
      <c r="A18" s="4"/>
      <c r="B18" s="4"/>
      <c r="G18" s="2"/>
      <c r="H18" s="2"/>
      <c r="I18" s="2"/>
      <c r="K18" s="8"/>
      <c r="L18" s="16"/>
      <c r="M18" s="13"/>
      <c r="N18" s="6"/>
      <c r="O18" s="7"/>
    </row>
    <row r="19" spans="1:15">
      <c r="A19" s="4"/>
      <c r="B19" s="4"/>
      <c r="G19" s="2"/>
      <c r="H19" s="2"/>
      <c r="I19" s="2"/>
      <c r="K19" s="8"/>
      <c r="L19" s="16"/>
      <c r="M19" s="13"/>
      <c r="N19" s="6"/>
      <c r="O19" s="7"/>
    </row>
    <row r="20" spans="1:15">
      <c r="A20" s="4"/>
      <c r="G20" s="2"/>
      <c r="H20" s="2"/>
      <c r="I20" s="2"/>
      <c r="K20" s="8"/>
      <c r="L20" s="16"/>
      <c r="M20" s="13"/>
      <c r="N20" s="6"/>
      <c r="O20" s="7"/>
    </row>
    <row r="21" spans="1:15">
      <c r="A21" s="4"/>
      <c r="K21" s="3"/>
      <c r="M21" s="13"/>
      <c r="N21" s="6"/>
    </row>
    <row r="22" spans="1:15">
      <c r="A22" s="4"/>
      <c r="K22" s="3"/>
      <c r="L22" s="4"/>
      <c r="M22" s="13"/>
      <c r="N22" s="10"/>
    </row>
    <row r="23" spans="1:15">
      <c r="A23" s="4"/>
      <c r="D23" s="17"/>
      <c r="K23" s="3"/>
      <c r="L23" s="4"/>
      <c r="M23" s="13"/>
      <c r="N23" s="10"/>
    </row>
    <row r="24" spans="1:15">
      <c r="K24" s="3"/>
    </row>
    <row r="25" spans="1:15">
      <c r="K25" s="3"/>
    </row>
    <row r="26" spans="1:15">
      <c r="N26" s="6">
        <f>SUM(N11:N25)</f>
        <v>106300</v>
      </c>
    </row>
    <row r="27" spans="1:15">
      <c r="N27" s="6"/>
    </row>
    <row r="28" spans="1:15">
      <c r="N28" s="6">
        <f>N26</f>
        <v>106300</v>
      </c>
    </row>
    <row r="29" spans="1:15">
      <c r="L29" s="2"/>
      <c r="M29" s="3">
        <v>7</v>
      </c>
      <c r="N29" s="6">
        <f>N28*7%</f>
        <v>7441.0000000000009</v>
      </c>
    </row>
    <row r="30" spans="1:15">
      <c r="L30" s="2"/>
      <c r="N30" s="6"/>
    </row>
    <row r="31" spans="1:15">
      <c r="C31" s="1" t="str">
        <f>BAHTTEXT(N31)</f>
        <v>หนึ่งแสนหนึ่งหมื่นสามพันเจ็ดร้อยสี่สิบเอ็ดบาทถ้วน</v>
      </c>
      <c r="N31" s="6">
        <f>N28+N29</f>
        <v>113741</v>
      </c>
      <c r="O31" s="6"/>
    </row>
    <row r="32" spans="1:15">
      <c r="M32" s="14"/>
    </row>
    <row r="34" spans="13:13">
      <c r="M34" s="15"/>
    </row>
    <row r="35" spans="13:13">
      <c r="M35" s="15"/>
    </row>
  </sheetData>
  <pageMargins left="0" right="0.31496062992126" top="1" bottom="0.74803149606299202" header="0.31496062992126" footer="0.31496062992126"/>
  <pageSetup paperSize="9" scale="9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40D7-7562-4C66-9AAA-095638F2A0EE}">
  <dimension ref="A1:O35"/>
  <sheetViews>
    <sheetView view="pageBreakPreview" zoomScale="80" zoomScaleNormal="100" zoomScaleSheetLayoutView="80" workbookViewId="0">
      <selection activeCell="L6" sqref="L6"/>
    </sheetView>
  </sheetViews>
  <sheetFormatPr defaultColWidth="8.85546875" defaultRowHeight="21"/>
  <cols>
    <col min="1" max="1" width="9" style="1" bestFit="1" customWidth="1"/>
    <col min="2" max="2" width="3.42578125" style="1" customWidth="1"/>
    <col min="3" max="4" width="8.85546875" style="1"/>
    <col min="5" max="5" width="11.140625" style="1" customWidth="1"/>
    <col min="6" max="6" width="5.85546875" style="1" customWidth="1"/>
    <col min="7" max="7" width="5.5703125" style="1" customWidth="1"/>
    <col min="8" max="8" width="2.5703125" style="1" customWidth="1"/>
    <col min="9" max="10" width="5.5703125" style="1" customWidth="1"/>
    <col min="11" max="11" width="9" style="1" customWidth="1"/>
    <col min="12" max="12" width="8.5703125" style="1" customWidth="1"/>
    <col min="13" max="13" width="9.85546875" style="3" customWidth="1"/>
    <col min="14" max="14" width="11.7109375" style="1" customWidth="1"/>
    <col min="15" max="16384" width="8.85546875" style="1"/>
  </cols>
  <sheetData>
    <row r="1" spans="1:15" ht="55.5" customHeight="1"/>
    <row r="2" spans="1:15" ht="24.75" customHeight="1"/>
    <row r="3" spans="1:15">
      <c r="A3" s="9" t="s">
        <v>0</v>
      </c>
      <c r="B3" s="9"/>
      <c r="L3" s="4" t="s">
        <v>12</v>
      </c>
      <c r="N3" s="11"/>
      <c r="O3" s="11"/>
    </row>
    <row r="4" spans="1:15">
      <c r="A4" s="9" t="s">
        <v>1</v>
      </c>
      <c r="B4" s="9"/>
      <c r="L4" s="4"/>
    </row>
    <row r="5" spans="1:15">
      <c r="A5" s="9" t="s">
        <v>2</v>
      </c>
      <c r="B5" s="9"/>
      <c r="L5" s="11">
        <v>244369</v>
      </c>
      <c r="M5" s="5"/>
    </row>
    <row r="6" spans="1:15">
      <c r="A6" s="9" t="s">
        <v>3</v>
      </c>
      <c r="B6" s="9"/>
      <c r="K6" s="2"/>
      <c r="L6" s="4"/>
      <c r="N6" s="12"/>
    </row>
    <row r="7" spans="1:15">
      <c r="B7" s="9"/>
      <c r="O7" s="5"/>
    </row>
    <row r="10" spans="1:15">
      <c r="A10" s="4"/>
      <c r="K10" s="2"/>
    </row>
    <row r="11" spans="1:15">
      <c r="A11" s="4">
        <v>1</v>
      </c>
      <c r="B11" s="27" t="s">
        <v>4</v>
      </c>
      <c r="G11" s="2"/>
      <c r="H11" s="2"/>
      <c r="I11" s="2"/>
      <c r="K11" s="22">
        <v>1000</v>
      </c>
      <c r="L11" s="24" t="s">
        <v>6</v>
      </c>
      <c r="M11" s="28">
        <v>86</v>
      </c>
      <c r="N11" s="6">
        <f>K11*M11</f>
        <v>86000</v>
      </c>
      <c r="O11" s="7"/>
    </row>
    <row r="12" spans="1:15">
      <c r="A12" s="4">
        <v>2</v>
      </c>
      <c r="B12" s="27" t="s">
        <v>8</v>
      </c>
      <c r="G12" s="2"/>
      <c r="H12" s="2"/>
      <c r="I12" s="2"/>
      <c r="K12" s="22">
        <v>60</v>
      </c>
      <c r="L12" s="24" t="s">
        <v>6</v>
      </c>
      <c r="M12" s="28">
        <v>230</v>
      </c>
      <c r="N12" s="6">
        <f>K12*M12</f>
        <v>13800</v>
      </c>
      <c r="O12" s="7"/>
    </row>
    <row r="13" spans="1:15">
      <c r="A13" s="4"/>
      <c r="B13" s="21"/>
      <c r="G13" s="2"/>
      <c r="H13" s="2"/>
      <c r="I13" s="2"/>
      <c r="K13" s="22"/>
      <c r="L13" s="21"/>
      <c r="M13" s="26"/>
      <c r="N13" s="6"/>
      <c r="O13" s="7"/>
    </row>
    <row r="14" spans="1:15">
      <c r="A14" s="4"/>
      <c r="B14" s="21"/>
      <c r="G14" s="2"/>
      <c r="H14" s="2"/>
      <c r="I14" s="2"/>
      <c r="K14" s="22"/>
      <c r="L14" s="21"/>
      <c r="M14" s="26"/>
      <c r="N14" s="6"/>
      <c r="O14" s="7"/>
    </row>
    <row r="15" spans="1:15">
      <c r="A15" s="4"/>
      <c r="B15" s="21"/>
      <c r="G15" s="2"/>
      <c r="H15" s="2"/>
      <c r="I15" s="2"/>
      <c r="K15" s="22"/>
      <c r="L15" s="24"/>
      <c r="M15" s="23"/>
      <c r="N15" s="6"/>
      <c r="O15" s="7"/>
    </row>
    <row r="16" spans="1:15">
      <c r="A16" s="4"/>
      <c r="B16" s="21"/>
      <c r="G16" s="7"/>
      <c r="H16" s="7"/>
      <c r="I16" s="7"/>
      <c r="K16" s="22"/>
      <c r="L16" s="21"/>
      <c r="M16" s="26"/>
      <c r="N16" s="6"/>
      <c r="O16" s="7"/>
    </row>
    <row r="17" spans="1:15">
      <c r="A17" s="4"/>
      <c r="B17" s="21"/>
      <c r="G17" s="2"/>
      <c r="H17" s="2"/>
      <c r="I17" s="2"/>
      <c r="K17" s="22"/>
      <c r="L17" s="21"/>
      <c r="M17" s="26"/>
      <c r="N17" s="6"/>
      <c r="O17" s="7"/>
    </row>
    <row r="18" spans="1:15">
      <c r="A18" s="4"/>
      <c r="B18" s="21"/>
      <c r="G18" s="2"/>
      <c r="H18" s="2"/>
      <c r="I18" s="2"/>
      <c r="K18" s="22"/>
      <c r="L18" s="21"/>
      <c r="M18" s="26"/>
      <c r="N18" s="6"/>
      <c r="O18" s="7"/>
    </row>
    <row r="19" spans="1:15">
      <c r="A19" s="4"/>
      <c r="B19" s="21"/>
      <c r="G19" s="2"/>
      <c r="H19" s="2"/>
      <c r="I19" s="2"/>
      <c r="K19" s="22"/>
      <c r="L19" s="21"/>
      <c r="M19" s="26"/>
      <c r="N19" s="6"/>
      <c r="O19" s="7"/>
    </row>
    <row r="20" spans="1:15">
      <c r="A20" s="4"/>
      <c r="B20" s="21"/>
      <c r="G20" s="2"/>
      <c r="H20" s="2"/>
      <c r="I20" s="2"/>
      <c r="K20" s="22"/>
      <c r="L20" s="21"/>
      <c r="M20" s="26"/>
      <c r="N20" s="6"/>
      <c r="O20" s="7"/>
    </row>
    <row r="21" spans="1:15">
      <c r="A21" s="4"/>
      <c r="K21" s="3"/>
      <c r="M21" s="13"/>
      <c r="N21" s="6"/>
    </row>
    <row r="22" spans="1:15">
      <c r="A22" s="4"/>
      <c r="K22" s="3"/>
      <c r="L22" s="4"/>
      <c r="M22" s="13"/>
      <c r="N22" s="10"/>
    </row>
    <row r="23" spans="1:15">
      <c r="A23" s="4"/>
      <c r="D23" s="17"/>
      <c r="K23" s="3"/>
      <c r="L23" s="4"/>
      <c r="M23" s="13"/>
      <c r="N23" s="10"/>
    </row>
    <row r="24" spans="1:15">
      <c r="K24" s="3"/>
    </row>
    <row r="25" spans="1:15">
      <c r="K25" s="3"/>
    </row>
    <row r="26" spans="1:15">
      <c r="N26" s="6">
        <f>SUM(N11:N25)</f>
        <v>99800</v>
      </c>
    </row>
    <row r="27" spans="1:15">
      <c r="N27" s="6"/>
    </row>
    <row r="28" spans="1:15">
      <c r="N28" s="6">
        <f>N26</f>
        <v>99800</v>
      </c>
    </row>
    <row r="29" spans="1:15">
      <c r="L29" s="2"/>
      <c r="M29" s="3">
        <v>7</v>
      </c>
      <c r="N29" s="6">
        <f>N28*7%</f>
        <v>6986.0000000000009</v>
      </c>
    </row>
    <row r="30" spans="1:15">
      <c r="L30" s="2"/>
      <c r="N30" s="6"/>
    </row>
    <row r="31" spans="1:15">
      <c r="C31" s="1" t="str">
        <f>BAHTTEXT(N31)</f>
        <v>หนึ่งแสนหกพันเจ็ดร้อยแปดสิบหกบาทถ้วน</v>
      </c>
      <c r="N31" s="6">
        <f>N28+N29</f>
        <v>106786</v>
      </c>
      <c r="O31" s="6"/>
    </row>
    <row r="32" spans="1:15">
      <c r="M32" s="14"/>
    </row>
    <row r="34" spans="13:13">
      <c r="M34" s="15"/>
    </row>
    <row r="35" spans="13:13">
      <c r="M35" s="15"/>
    </row>
  </sheetData>
  <pageMargins left="0" right="0.31496062992126" top="1" bottom="0.74803149606299202" header="0.31496062992126" footer="0.31496062992126"/>
  <pageSetup paperSize="9" scale="9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0F0A-35A0-4978-AB3A-E73E2C0E88BF}">
  <dimension ref="A1:O35"/>
  <sheetViews>
    <sheetView view="pageBreakPreview" zoomScale="80" zoomScaleNormal="100" zoomScaleSheetLayoutView="80" workbookViewId="0">
      <selection activeCell="L6" sqref="L6"/>
    </sheetView>
  </sheetViews>
  <sheetFormatPr defaultColWidth="8.85546875" defaultRowHeight="21"/>
  <cols>
    <col min="1" max="1" width="9" style="1" bestFit="1" customWidth="1"/>
    <col min="2" max="2" width="3.42578125" style="1" customWidth="1"/>
    <col min="3" max="4" width="8.85546875" style="1"/>
    <col min="5" max="5" width="11.140625" style="1" customWidth="1"/>
    <col min="6" max="6" width="5.85546875" style="1" customWidth="1"/>
    <col min="7" max="7" width="5.5703125" style="1" customWidth="1"/>
    <col min="8" max="8" width="2.5703125" style="1" customWidth="1"/>
    <col min="9" max="10" width="5.5703125" style="1" customWidth="1"/>
    <col min="11" max="11" width="9" style="1" customWidth="1"/>
    <col min="12" max="12" width="8.5703125" style="1" customWidth="1"/>
    <col min="13" max="13" width="9.85546875" style="3" customWidth="1"/>
    <col min="14" max="14" width="11.7109375" style="1" customWidth="1"/>
    <col min="15" max="16384" width="8.85546875" style="1"/>
  </cols>
  <sheetData>
    <row r="1" spans="1:15" ht="55.5" customHeight="1"/>
    <row r="2" spans="1:15" ht="24.75" customHeight="1"/>
    <row r="3" spans="1:15">
      <c r="A3" s="9" t="s">
        <v>0</v>
      </c>
      <c r="B3" s="9"/>
      <c r="L3" s="4" t="s">
        <v>13</v>
      </c>
      <c r="N3" s="11"/>
      <c r="O3" s="11"/>
    </row>
    <row r="4" spans="1:15">
      <c r="A4" s="9" t="s">
        <v>1</v>
      </c>
      <c r="B4" s="9"/>
      <c r="L4" s="4"/>
    </row>
    <row r="5" spans="1:15">
      <c r="A5" s="9" t="s">
        <v>2</v>
      </c>
      <c r="B5" s="9"/>
      <c r="L5" s="11">
        <v>244375</v>
      </c>
      <c r="M5" s="5"/>
    </row>
    <row r="6" spans="1:15">
      <c r="A6" s="9" t="s">
        <v>3</v>
      </c>
      <c r="B6" s="9"/>
      <c r="K6" s="2"/>
      <c r="L6" s="4"/>
      <c r="N6" s="12"/>
    </row>
    <row r="7" spans="1:15">
      <c r="B7" s="9"/>
      <c r="O7" s="5"/>
    </row>
    <row r="10" spans="1:15">
      <c r="A10" s="4"/>
      <c r="K10" s="2"/>
    </row>
    <row r="11" spans="1:15">
      <c r="A11" s="4">
        <v>1</v>
      </c>
      <c r="B11" s="27" t="s">
        <v>4</v>
      </c>
      <c r="G11" s="2"/>
      <c r="H11" s="2"/>
      <c r="I11" s="2"/>
      <c r="K11" s="22">
        <v>1000</v>
      </c>
      <c r="L11" s="24" t="s">
        <v>6</v>
      </c>
      <c r="M11" s="28">
        <v>86</v>
      </c>
      <c r="N11" s="6">
        <f>K11*M11</f>
        <v>86000</v>
      </c>
      <c r="O11" s="7"/>
    </row>
    <row r="12" spans="1:15">
      <c r="A12" s="4">
        <v>2</v>
      </c>
      <c r="B12" s="27" t="s">
        <v>9</v>
      </c>
      <c r="G12" s="2"/>
      <c r="H12" s="2"/>
      <c r="I12" s="2"/>
      <c r="K12" s="29">
        <v>75</v>
      </c>
      <c r="L12" s="24" t="s">
        <v>6</v>
      </c>
      <c r="M12" s="28">
        <v>284</v>
      </c>
      <c r="N12" s="6">
        <f>K12*M12</f>
        <v>21300</v>
      </c>
      <c r="O12" s="7"/>
    </row>
    <row r="13" spans="1:15">
      <c r="A13" s="4"/>
      <c r="B13" s="21"/>
      <c r="G13" s="2"/>
      <c r="H13" s="2"/>
      <c r="I13" s="2"/>
      <c r="K13" s="22"/>
      <c r="L13" s="21"/>
      <c r="M13" s="26"/>
      <c r="N13" s="6"/>
      <c r="O13" s="7"/>
    </row>
    <row r="14" spans="1:15">
      <c r="A14" s="4"/>
      <c r="B14" s="21"/>
      <c r="G14" s="2"/>
      <c r="H14" s="2"/>
      <c r="I14" s="2"/>
      <c r="K14" s="22"/>
      <c r="L14" s="21"/>
      <c r="M14" s="26"/>
      <c r="N14" s="6"/>
      <c r="O14" s="7"/>
    </row>
    <row r="15" spans="1:15">
      <c r="A15" s="4"/>
      <c r="B15" s="21"/>
      <c r="G15" s="2"/>
      <c r="H15" s="2"/>
      <c r="I15" s="2"/>
      <c r="K15" s="22"/>
      <c r="L15" s="24"/>
      <c r="M15" s="23"/>
      <c r="N15" s="6"/>
      <c r="O15" s="7"/>
    </row>
    <row r="16" spans="1:15">
      <c r="A16" s="4"/>
      <c r="B16" s="21"/>
      <c r="G16" s="7"/>
      <c r="H16" s="7"/>
      <c r="I16" s="7"/>
      <c r="K16" s="22"/>
      <c r="L16" s="21"/>
      <c r="M16" s="26"/>
      <c r="N16" s="6"/>
      <c r="O16" s="7"/>
    </row>
    <row r="17" spans="1:15">
      <c r="A17" s="4"/>
      <c r="B17" s="21"/>
      <c r="G17" s="2"/>
      <c r="H17" s="2"/>
      <c r="I17" s="2"/>
      <c r="K17" s="22"/>
      <c r="L17" s="21"/>
      <c r="M17" s="26"/>
      <c r="N17" s="6"/>
      <c r="O17" s="7"/>
    </row>
    <row r="18" spans="1:15">
      <c r="A18" s="4"/>
      <c r="B18" s="21"/>
      <c r="G18" s="2"/>
      <c r="H18" s="2"/>
      <c r="I18" s="2"/>
      <c r="K18" s="22"/>
      <c r="L18" s="21"/>
      <c r="M18" s="26"/>
      <c r="N18" s="6"/>
      <c r="O18" s="7"/>
    </row>
    <row r="19" spans="1:15">
      <c r="A19" s="4"/>
      <c r="B19" s="21"/>
      <c r="G19" s="2"/>
      <c r="H19" s="2"/>
      <c r="I19" s="2"/>
      <c r="K19" s="22"/>
      <c r="L19" s="21"/>
      <c r="M19" s="26"/>
      <c r="N19" s="6"/>
      <c r="O19" s="7"/>
    </row>
    <row r="20" spans="1:15">
      <c r="A20" s="4"/>
      <c r="B20" s="21"/>
      <c r="G20" s="2"/>
      <c r="H20" s="2"/>
      <c r="I20" s="2"/>
      <c r="K20" s="22"/>
      <c r="L20" s="21"/>
      <c r="M20" s="26"/>
      <c r="N20" s="6"/>
      <c r="O20" s="7"/>
    </row>
    <row r="21" spans="1:15">
      <c r="A21" s="4"/>
      <c r="K21" s="3"/>
      <c r="M21" s="13"/>
      <c r="N21" s="6"/>
    </row>
    <row r="22" spans="1:15">
      <c r="A22" s="4"/>
      <c r="K22" s="3"/>
      <c r="L22" s="4"/>
      <c r="M22" s="13"/>
      <c r="N22" s="10"/>
    </row>
    <row r="23" spans="1:15">
      <c r="A23" s="4"/>
      <c r="D23" s="17"/>
      <c r="K23" s="3"/>
      <c r="L23" s="4"/>
      <c r="M23" s="13"/>
      <c r="N23" s="10"/>
    </row>
    <row r="24" spans="1:15">
      <c r="K24" s="3"/>
    </row>
    <row r="25" spans="1:15">
      <c r="K25" s="3"/>
    </row>
    <row r="26" spans="1:15">
      <c r="N26" s="6">
        <f>SUM(N11:N25)</f>
        <v>107300</v>
      </c>
    </row>
    <row r="27" spans="1:15">
      <c r="N27" s="6"/>
    </row>
    <row r="28" spans="1:15">
      <c r="N28" s="6">
        <f>N26</f>
        <v>107300</v>
      </c>
    </row>
    <row r="29" spans="1:15">
      <c r="L29" s="2"/>
      <c r="M29" s="3">
        <v>7</v>
      </c>
      <c r="N29" s="6">
        <f>N28*7%</f>
        <v>7511.0000000000009</v>
      </c>
    </row>
    <row r="30" spans="1:15">
      <c r="L30" s="2"/>
      <c r="N30" s="6"/>
    </row>
    <row r="31" spans="1:15">
      <c r="C31" s="1" t="str">
        <f>BAHTTEXT(N31)</f>
        <v>หนึ่งแสนหนึ่งหมื่นสี่พันแปดร้อยสิบเอ็ดบาทถ้วน</v>
      </c>
      <c r="N31" s="6">
        <f>N28+N29</f>
        <v>114811</v>
      </c>
      <c r="O31" s="6"/>
    </row>
    <row r="32" spans="1:15">
      <c r="M32" s="14"/>
    </row>
    <row r="34" spans="13:13">
      <c r="M34" s="15"/>
    </row>
    <row r="35" spans="13:13">
      <c r="M35" s="15"/>
    </row>
  </sheetData>
  <pageMargins left="0" right="0.31496062992126" top="1" bottom="0.74803149606299202" header="0.31496062992126" footer="0.31496062992126"/>
  <pageSetup paperSize="9" scale="9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2DCB-0266-40FF-893C-460CE6F94849}">
  <dimension ref="A1:O35"/>
  <sheetViews>
    <sheetView view="pageBreakPreview" zoomScale="80" zoomScaleNormal="100" zoomScaleSheetLayoutView="80" workbookViewId="0">
      <selection activeCell="J18" sqref="J18"/>
    </sheetView>
  </sheetViews>
  <sheetFormatPr defaultColWidth="8.85546875" defaultRowHeight="21"/>
  <cols>
    <col min="1" max="1" width="9" style="1" bestFit="1" customWidth="1"/>
    <col min="2" max="2" width="3.42578125" style="1" customWidth="1"/>
    <col min="3" max="4" width="8.85546875" style="1"/>
    <col min="5" max="5" width="11.140625" style="1" customWidth="1"/>
    <col min="6" max="6" width="5.85546875" style="1" customWidth="1"/>
    <col min="7" max="7" width="5.5703125" style="1" customWidth="1"/>
    <col min="8" max="8" width="2.5703125" style="1" customWidth="1"/>
    <col min="9" max="10" width="5.5703125" style="1" customWidth="1"/>
    <col min="11" max="11" width="9" style="1" customWidth="1"/>
    <col min="12" max="12" width="8.5703125" style="1" customWidth="1"/>
    <col min="13" max="13" width="9.85546875" style="3" customWidth="1"/>
    <col min="14" max="14" width="11.7109375" style="1" customWidth="1"/>
    <col min="15" max="16384" width="8.85546875" style="1"/>
  </cols>
  <sheetData>
    <row r="1" spans="1:15" ht="55.5" customHeight="1"/>
    <row r="2" spans="1:15" ht="24.75" customHeight="1"/>
    <row r="3" spans="1:15">
      <c r="A3" s="9" t="s">
        <v>0</v>
      </c>
      <c r="B3" s="9"/>
      <c r="L3" s="4" t="s">
        <v>14</v>
      </c>
      <c r="N3" s="11"/>
      <c r="O3" s="11"/>
    </row>
    <row r="4" spans="1:15">
      <c r="A4" s="9" t="s">
        <v>1</v>
      </c>
      <c r="B4" s="9"/>
      <c r="L4" s="4"/>
    </row>
    <row r="5" spans="1:15">
      <c r="A5" s="9" t="s">
        <v>2</v>
      </c>
      <c r="B5" s="9"/>
      <c r="L5" s="11">
        <v>244385</v>
      </c>
      <c r="M5" s="5"/>
    </row>
    <row r="6" spans="1:15">
      <c r="A6" s="9" t="s">
        <v>3</v>
      </c>
      <c r="B6" s="9"/>
      <c r="K6" s="2"/>
      <c r="L6" s="4"/>
      <c r="N6" s="12"/>
    </row>
    <row r="7" spans="1:15">
      <c r="B7" s="9"/>
      <c r="O7" s="5"/>
    </row>
    <row r="10" spans="1:15">
      <c r="A10" s="4"/>
      <c r="K10" s="2"/>
    </row>
    <row r="11" spans="1:15">
      <c r="A11" s="4">
        <v>1</v>
      </c>
      <c r="B11" s="27" t="s">
        <v>5</v>
      </c>
      <c r="G11" s="2"/>
      <c r="H11" s="2"/>
      <c r="I11" s="2"/>
      <c r="K11" s="22">
        <v>1000</v>
      </c>
      <c r="L11" s="24" t="s">
        <v>6</v>
      </c>
      <c r="M11" s="28">
        <v>118</v>
      </c>
      <c r="N11" s="6">
        <f>K11*M11</f>
        <v>118000</v>
      </c>
      <c r="O11" s="7"/>
    </row>
    <row r="12" spans="1:15">
      <c r="A12" s="4">
        <v>2</v>
      </c>
      <c r="B12" s="27" t="s">
        <v>7</v>
      </c>
      <c r="G12" s="2"/>
      <c r="H12" s="2"/>
      <c r="I12" s="2"/>
      <c r="K12" s="22">
        <v>100</v>
      </c>
      <c r="L12" s="24" t="s">
        <v>6</v>
      </c>
      <c r="M12" s="28">
        <v>203</v>
      </c>
      <c r="N12" s="6">
        <f>K12*M12</f>
        <v>20300</v>
      </c>
      <c r="O12" s="7"/>
    </row>
    <row r="13" spans="1:15">
      <c r="A13" s="4"/>
      <c r="B13" s="21"/>
      <c r="G13" s="2"/>
      <c r="H13" s="2"/>
      <c r="I13" s="2"/>
      <c r="K13" s="22"/>
      <c r="L13" s="21"/>
      <c r="M13" s="26"/>
      <c r="N13" s="6"/>
      <c r="O13" s="7"/>
    </row>
    <row r="14" spans="1:15">
      <c r="A14" s="4"/>
      <c r="B14" s="21"/>
      <c r="G14" s="2"/>
      <c r="H14" s="2"/>
      <c r="I14" s="2"/>
      <c r="K14" s="22"/>
      <c r="L14" s="21"/>
      <c r="M14" s="26"/>
      <c r="N14" s="6"/>
      <c r="O14" s="7"/>
    </row>
    <row r="15" spans="1:15">
      <c r="A15" s="4"/>
      <c r="B15" s="21"/>
      <c r="G15" s="2"/>
      <c r="H15" s="2"/>
      <c r="I15" s="2"/>
      <c r="K15" s="22"/>
      <c r="L15" s="21"/>
      <c r="M15" s="23"/>
      <c r="N15" s="6"/>
      <c r="O15" s="7"/>
    </row>
    <row r="16" spans="1:15">
      <c r="A16" s="4"/>
      <c r="B16" s="21"/>
      <c r="G16" s="7"/>
      <c r="H16" s="7"/>
      <c r="I16" s="7"/>
      <c r="K16" s="22"/>
      <c r="L16" s="24"/>
      <c r="M16" s="25"/>
      <c r="N16" s="6"/>
      <c r="O16" s="7"/>
    </row>
    <row r="17" spans="1:15">
      <c r="A17" s="4"/>
      <c r="G17" s="2"/>
      <c r="H17" s="2"/>
      <c r="I17" s="2"/>
      <c r="K17" s="8"/>
      <c r="M17" s="13"/>
      <c r="N17" s="6"/>
      <c r="O17" s="7"/>
    </row>
    <row r="18" spans="1:15">
      <c r="A18" s="4"/>
      <c r="B18" s="4"/>
      <c r="G18" s="2"/>
      <c r="H18" s="2"/>
      <c r="I18" s="2"/>
      <c r="K18" s="8"/>
      <c r="L18" s="16"/>
      <c r="M18" s="13"/>
      <c r="N18" s="6"/>
      <c r="O18" s="7"/>
    </row>
    <row r="19" spans="1:15">
      <c r="A19" s="4"/>
      <c r="B19" s="4"/>
      <c r="G19" s="2"/>
      <c r="H19" s="2"/>
      <c r="I19" s="2"/>
      <c r="K19" s="8"/>
      <c r="L19" s="16"/>
      <c r="M19" s="13"/>
      <c r="N19" s="6"/>
      <c r="O19" s="7"/>
    </row>
    <row r="20" spans="1:15">
      <c r="A20" s="4"/>
      <c r="G20" s="2"/>
      <c r="H20" s="2"/>
      <c r="I20" s="2"/>
      <c r="K20" s="8"/>
      <c r="L20" s="16"/>
      <c r="M20" s="13"/>
      <c r="N20" s="6"/>
      <c r="O20" s="7"/>
    </row>
    <row r="21" spans="1:15">
      <c r="A21" s="4"/>
      <c r="K21" s="3"/>
      <c r="M21" s="13"/>
      <c r="N21" s="6"/>
    </row>
    <row r="22" spans="1:15">
      <c r="A22" s="4"/>
      <c r="K22" s="3"/>
      <c r="L22" s="4"/>
      <c r="M22" s="13"/>
      <c r="N22" s="10"/>
    </row>
    <row r="23" spans="1:15">
      <c r="A23" s="4"/>
      <c r="D23" s="17"/>
      <c r="K23" s="3"/>
      <c r="L23" s="4"/>
      <c r="M23" s="13"/>
      <c r="N23" s="10"/>
    </row>
    <row r="24" spans="1:15">
      <c r="K24" s="3"/>
    </row>
    <row r="25" spans="1:15">
      <c r="K25" s="3"/>
    </row>
    <row r="26" spans="1:15">
      <c r="N26" s="6">
        <f>SUM(N11:N25)</f>
        <v>138300</v>
      </c>
    </row>
    <row r="27" spans="1:15">
      <c r="N27" s="6"/>
    </row>
    <row r="28" spans="1:15">
      <c r="N28" s="6">
        <f>N26</f>
        <v>138300</v>
      </c>
    </row>
    <row r="29" spans="1:15">
      <c r="L29" s="2"/>
      <c r="M29" s="3">
        <v>7</v>
      </c>
      <c r="N29" s="6">
        <f>N28*7%</f>
        <v>9681.0000000000018</v>
      </c>
    </row>
    <row r="30" spans="1:15">
      <c r="L30" s="2"/>
      <c r="N30" s="6"/>
    </row>
    <row r="31" spans="1:15">
      <c r="C31" s="1" t="str">
        <f>BAHTTEXT(N31)</f>
        <v>หนึ่งแสนสี่หมื่นเจ็ดพันเก้าร้อยแปดสิบเอ็ดบาทถ้วน</v>
      </c>
      <c r="N31" s="6">
        <f>N28+N29</f>
        <v>147981</v>
      </c>
      <c r="O31" s="6"/>
    </row>
    <row r="32" spans="1:15">
      <c r="M32" s="14"/>
    </row>
    <row r="34" spans="13:13">
      <c r="M34" s="15"/>
    </row>
    <row r="35" spans="13:13">
      <c r="M35" s="15"/>
    </row>
  </sheetData>
  <pageMargins left="0" right="0.31496062992126" top="1" bottom="0.74803149606299202" header="0.31496062992126" footer="0.31496062992126"/>
  <pageSetup paperSize="9" scale="95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B565-F35F-4584-AB7F-0531483979ED}">
  <dimension ref="A1:O35"/>
  <sheetViews>
    <sheetView view="pageBreakPreview" zoomScale="80" zoomScaleNormal="100" zoomScaleSheetLayoutView="80" workbookViewId="0">
      <selection activeCell="L6" sqref="L6"/>
    </sheetView>
  </sheetViews>
  <sheetFormatPr defaultColWidth="8.85546875" defaultRowHeight="21"/>
  <cols>
    <col min="1" max="1" width="9" style="1" bestFit="1" customWidth="1"/>
    <col min="2" max="2" width="3.42578125" style="1" customWidth="1"/>
    <col min="3" max="4" width="8.85546875" style="1"/>
    <col min="5" max="5" width="11.140625" style="1" customWidth="1"/>
    <col min="6" max="6" width="5.85546875" style="1" customWidth="1"/>
    <col min="7" max="7" width="5.5703125" style="1" customWidth="1"/>
    <col min="8" max="8" width="2.5703125" style="1" customWidth="1"/>
    <col min="9" max="10" width="5.5703125" style="1" customWidth="1"/>
    <col min="11" max="11" width="9" style="1" customWidth="1"/>
    <col min="12" max="12" width="8.5703125" style="1" customWidth="1"/>
    <col min="13" max="13" width="9.85546875" style="3" customWidth="1"/>
    <col min="14" max="14" width="11.7109375" style="1" customWidth="1"/>
    <col min="15" max="16384" width="8.85546875" style="1"/>
  </cols>
  <sheetData>
    <row r="1" spans="1:15" ht="55.5" customHeight="1"/>
    <row r="2" spans="1:15" ht="24.75" customHeight="1"/>
    <row r="3" spans="1:15">
      <c r="A3" s="9" t="s">
        <v>0</v>
      </c>
      <c r="B3" s="9"/>
      <c r="L3" s="4" t="s">
        <v>15</v>
      </c>
      <c r="N3" s="11"/>
      <c r="O3" s="11"/>
    </row>
    <row r="4" spans="1:15">
      <c r="A4" s="9" t="s">
        <v>1</v>
      </c>
      <c r="B4" s="9"/>
      <c r="L4" s="4"/>
    </row>
    <row r="5" spans="1:15">
      <c r="A5" s="9" t="s">
        <v>2</v>
      </c>
      <c r="B5" s="9"/>
      <c r="L5" s="11">
        <v>244392</v>
      </c>
      <c r="M5" s="5"/>
    </row>
    <row r="6" spans="1:15">
      <c r="A6" s="9" t="s">
        <v>3</v>
      </c>
      <c r="B6" s="9"/>
      <c r="K6" s="2"/>
      <c r="L6" s="4"/>
      <c r="N6" s="12"/>
    </row>
    <row r="7" spans="1:15">
      <c r="B7" s="9"/>
      <c r="O7" s="5"/>
    </row>
    <row r="10" spans="1:15">
      <c r="A10" s="4"/>
      <c r="K10" s="2"/>
    </row>
    <row r="11" spans="1:15">
      <c r="A11" s="4">
        <v>1</v>
      </c>
      <c r="B11" s="27" t="s">
        <v>8</v>
      </c>
      <c r="G11" s="2"/>
      <c r="H11" s="2"/>
      <c r="I11" s="2"/>
      <c r="K11" s="22">
        <v>60</v>
      </c>
      <c r="L11" s="24" t="s">
        <v>6</v>
      </c>
      <c r="M11" s="28">
        <v>230</v>
      </c>
      <c r="N11" s="6">
        <f>K11*M11</f>
        <v>13800</v>
      </c>
      <c r="O11" s="7"/>
    </row>
    <row r="12" spans="1:15">
      <c r="A12" s="4">
        <v>2</v>
      </c>
      <c r="B12" s="27" t="s">
        <v>5</v>
      </c>
      <c r="G12" s="2"/>
      <c r="H12" s="2"/>
      <c r="I12" s="2"/>
      <c r="K12" s="22">
        <v>1000</v>
      </c>
      <c r="L12" s="24" t="s">
        <v>6</v>
      </c>
      <c r="M12" s="28">
        <v>118</v>
      </c>
      <c r="N12" s="6">
        <f>K12*M12</f>
        <v>118000</v>
      </c>
      <c r="O12" s="7"/>
    </row>
    <row r="13" spans="1:15">
      <c r="A13" s="4"/>
      <c r="B13" s="18"/>
      <c r="G13" s="2"/>
      <c r="H13" s="2"/>
      <c r="I13" s="2"/>
      <c r="K13" s="19"/>
      <c r="L13" s="4"/>
      <c r="M13" s="20"/>
      <c r="N13" s="6"/>
      <c r="O13" s="7"/>
    </row>
    <row r="14" spans="1:15">
      <c r="A14" s="4"/>
      <c r="B14" s="18"/>
      <c r="G14" s="2"/>
      <c r="H14" s="2"/>
      <c r="I14" s="2"/>
      <c r="K14" s="19"/>
      <c r="L14" s="4"/>
      <c r="M14" s="20"/>
      <c r="N14" s="6"/>
      <c r="O14" s="7"/>
    </row>
    <row r="15" spans="1:15">
      <c r="A15" s="4"/>
      <c r="G15" s="2"/>
      <c r="H15" s="2"/>
      <c r="I15" s="2"/>
      <c r="K15" s="14"/>
      <c r="L15" s="4"/>
      <c r="M15" s="15"/>
      <c r="N15" s="6"/>
      <c r="O15" s="7"/>
    </row>
    <row r="16" spans="1:15">
      <c r="A16" s="4"/>
      <c r="G16" s="7"/>
      <c r="H16" s="7"/>
      <c r="I16" s="7"/>
      <c r="K16" s="14"/>
      <c r="M16" s="15"/>
      <c r="N16" s="6"/>
      <c r="O16" s="7"/>
    </row>
    <row r="17" spans="1:15">
      <c r="A17" s="4"/>
      <c r="G17" s="2"/>
      <c r="H17" s="2"/>
      <c r="I17" s="2"/>
      <c r="K17" s="8"/>
      <c r="M17" s="13"/>
      <c r="N17" s="6"/>
      <c r="O17" s="7"/>
    </row>
    <row r="18" spans="1:15">
      <c r="A18" s="4"/>
      <c r="B18" s="4"/>
      <c r="G18" s="2"/>
      <c r="H18" s="2"/>
      <c r="I18" s="2"/>
      <c r="K18" s="8"/>
      <c r="L18" s="16"/>
      <c r="M18" s="13"/>
      <c r="N18" s="6"/>
      <c r="O18" s="7"/>
    </row>
    <row r="19" spans="1:15">
      <c r="A19" s="4"/>
      <c r="B19" s="4"/>
      <c r="G19" s="2"/>
      <c r="H19" s="2"/>
      <c r="I19" s="2"/>
      <c r="K19" s="8"/>
      <c r="L19" s="16"/>
      <c r="M19" s="13"/>
      <c r="N19" s="6"/>
      <c r="O19" s="7"/>
    </row>
    <row r="20" spans="1:15">
      <c r="A20" s="4"/>
      <c r="G20" s="2"/>
      <c r="H20" s="2"/>
      <c r="I20" s="2"/>
      <c r="K20" s="8"/>
      <c r="L20" s="16"/>
      <c r="M20" s="13"/>
      <c r="N20" s="6"/>
      <c r="O20" s="7"/>
    </row>
    <row r="21" spans="1:15">
      <c r="A21" s="4"/>
      <c r="K21" s="3"/>
      <c r="M21" s="13"/>
      <c r="N21" s="6"/>
    </row>
    <row r="22" spans="1:15">
      <c r="A22" s="4"/>
      <c r="K22" s="3"/>
      <c r="L22" s="4"/>
      <c r="M22" s="13"/>
      <c r="N22" s="10"/>
    </row>
    <row r="23" spans="1:15">
      <c r="A23" s="4"/>
      <c r="D23" s="17"/>
      <c r="K23" s="3"/>
      <c r="L23" s="4"/>
      <c r="M23" s="13"/>
      <c r="N23" s="10"/>
    </row>
    <row r="24" spans="1:15">
      <c r="K24" s="3"/>
    </row>
    <row r="25" spans="1:15">
      <c r="K25" s="3"/>
    </row>
    <row r="26" spans="1:15">
      <c r="N26" s="6">
        <f>SUM(N11:N25)</f>
        <v>131800</v>
      </c>
    </row>
    <row r="27" spans="1:15">
      <c r="N27" s="6"/>
    </row>
    <row r="28" spans="1:15">
      <c r="N28" s="6">
        <f>N26</f>
        <v>131800</v>
      </c>
    </row>
    <row r="29" spans="1:15">
      <c r="L29" s="2"/>
      <c r="M29" s="3">
        <v>7</v>
      </c>
      <c r="N29" s="6">
        <f>N28*7%</f>
        <v>9226</v>
      </c>
    </row>
    <row r="30" spans="1:15">
      <c r="L30" s="2"/>
      <c r="N30" s="6"/>
    </row>
    <row r="31" spans="1:15">
      <c r="C31" s="1" t="str">
        <f>BAHTTEXT(N31)</f>
        <v>หนึ่งแสนสี่หมื่นหนึ่งพันยี่สิบหกบาทถ้วน</v>
      </c>
      <c r="N31" s="6">
        <f>N28+N29</f>
        <v>141026</v>
      </c>
      <c r="O31" s="6"/>
    </row>
    <row r="32" spans="1:15">
      <c r="M32" s="14"/>
    </row>
    <row r="34" spans="13:13">
      <c r="M34" s="15"/>
    </row>
    <row r="35" spans="13:13">
      <c r="M35" s="15"/>
    </row>
  </sheetData>
  <pageMargins left="0" right="0.31496062992126" top="1" bottom="0.74803149606299202" header="0.31496062992126" footer="0.31496062992126"/>
  <pageSetup paperSize="9" scale="95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2232-85CB-42A6-AD10-6C307C7FF619}">
  <dimension ref="A1:O35"/>
  <sheetViews>
    <sheetView tabSelected="1" view="pageBreakPreview" zoomScale="80" zoomScaleNormal="100" zoomScaleSheetLayoutView="80" workbookViewId="0">
      <selection activeCell="E22" sqref="E22"/>
    </sheetView>
  </sheetViews>
  <sheetFormatPr defaultColWidth="8.85546875" defaultRowHeight="21"/>
  <cols>
    <col min="1" max="1" width="9" style="1" bestFit="1" customWidth="1"/>
    <col min="2" max="2" width="3.42578125" style="1" customWidth="1"/>
    <col min="3" max="4" width="8.85546875" style="1"/>
    <col min="5" max="5" width="11.140625" style="1" customWidth="1"/>
    <col min="6" max="6" width="5.85546875" style="1" customWidth="1"/>
    <col min="7" max="7" width="5.5703125" style="1" customWidth="1"/>
    <col min="8" max="8" width="2.5703125" style="1" customWidth="1"/>
    <col min="9" max="10" width="5.5703125" style="1" customWidth="1"/>
    <col min="11" max="11" width="9" style="1" customWidth="1"/>
    <col min="12" max="12" width="8.5703125" style="1" customWidth="1"/>
    <col min="13" max="13" width="9.85546875" style="3" customWidth="1"/>
    <col min="14" max="14" width="11.7109375" style="1" customWidth="1"/>
    <col min="15" max="16384" width="8.85546875" style="1"/>
  </cols>
  <sheetData>
    <row r="1" spans="1:15" ht="55.5" customHeight="1"/>
    <row r="2" spans="1:15" ht="24.75" customHeight="1"/>
    <row r="3" spans="1:15">
      <c r="A3" s="9" t="s">
        <v>0</v>
      </c>
      <c r="B3" s="9"/>
      <c r="L3" s="4" t="s">
        <v>16</v>
      </c>
      <c r="N3" s="11"/>
      <c r="O3" s="11"/>
    </row>
    <row r="4" spans="1:15">
      <c r="A4" s="9" t="s">
        <v>1</v>
      </c>
      <c r="B4" s="9"/>
      <c r="L4" s="4"/>
    </row>
    <row r="5" spans="1:15">
      <c r="A5" s="9" t="s">
        <v>2</v>
      </c>
      <c r="B5" s="9"/>
      <c r="L5" s="11">
        <v>244393</v>
      </c>
      <c r="M5" s="5"/>
    </row>
    <row r="6" spans="1:15">
      <c r="A6" s="9" t="s">
        <v>3</v>
      </c>
      <c r="B6" s="9"/>
      <c r="K6" s="2"/>
      <c r="L6" s="4"/>
      <c r="N6" s="12"/>
    </row>
    <row r="7" spans="1:15">
      <c r="B7" s="9"/>
      <c r="O7" s="5"/>
    </row>
    <row r="10" spans="1:15">
      <c r="A10" s="4"/>
      <c r="K10" s="2"/>
    </row>
    <row r="11" spans="1:15">
      <c r="A11" s="4">
        <v>1</v>
      </c>
      <c r="B11" s="27" t="s">
        <v>5</v>
      </c>
      <c r="G11" s="2"/>
      <c r="H11" s="2"/>
      <c r="I11" s="2"/>
      <c r="K11" s="22">
        <v>1000</v>
      </c>
      <c r="L11" s="24" t="s">
        <v>6</v>
      </c>
      <c r="M11" s="28">
        <v>118</v>
      </c>
      <c r="N11" s="6">
        <f>K11*M11</f>
        <v>118000</v>
      </c>
      <c r="O11" s="7"/>
    </row>
    <row r="12" spans="1:15">
      <c r="A12" s="4">
        <v>2</v>
      </c>
      <c r="B12" s="27" t="s">
        <v>9</v>
      </c>
      <c r="G12" s="2"/>
      <c r="H12" s="2"/>
      <c r="I12" s="2"/>
      <c r="K12" s="29">
        <v>75</v>
      </c>
      <c r="L12" s="24" t="s">
        <v>6</v>
      </c>
      <c r="M12" s="28">
        <v>284</v>
      </c>
      <c r="N12" s="6">
        <f>K12*M12</f>
        <v>21300</v>
      </c>
      <c r="O12" s="7"/>
    </row>
    <row r="13" spans="1:15">
      <c r="A13" s="4"/>
      <c r="B13" s="21"/>
      <c r="G13" s="2"/>
      <c r="H13" s="2"/>
      <c r="I13" s="2"/>
      <c r="K13" s="22"/>
      <c r="L13" s="21"/>
      <c r="M13" s="26"/>
      <c r="N13" s="6"/>
      <c r="O13" s="7"/>
    </row>
    <row r="14" spans="1:15">
      <c r="A14" s="4"/>
      <c r="B14" s="21"/>
      <c r="G14" s="2"/>
      <c r="H14" s="2"/>
      <c r="I14" s="2"/>
      <c r="K14" s="22"/>
      <c r="L14" s="21"/>
      <c r="M14" s="26"/>
      <c r="N14" s="6"/>
      <c r="O14" s="7"/>
    </row>
    <row r="15" spans="1:15">
      <c r="A15" s="4"/>
      <c r="G15" s="2"/>
      <c r="H15" s="2"/>
      <c r="I15" s="2"/>
      <c r="K15" s="14"/>
      <c r="L15" s="4"/>
      <c r="M15" s="15"/>
      <c r="N15" s="6"/>
      <c r="O15" s="7"/>
    </row>
    <row r="16" spans="1:15">
      <c r="A16" s="4"/>
      <c r="G16" s="7"/>
      <c r="H16" s="7"/>
      <c r="I16" s="7"/>
      <c r="K16" s="14"/>
      <c r="M16" s="15"/>
      <c r="N16" s="6"/>
      <c r="O16" s="7"/>
    </row>
    <row r="17" spans="1:15">
      <c r="A17" s="4"/>
      <c r="G17" s="2"/>
      <c r="H17" s="2"/>
      <c r="I17" s="2"/>
      <c r="K17" s="8"/>
      <c r="M17" s="13"/>
      <c r="N17" s="6"/>
      <c r="O17" s="7"/>
    </row>
    <row r="18" spans="1:15">
      <c r="A18" s="4"/>
      <c r="B18" s="4"/>
      <c r="G18" s="2"/>
      <c r="H18" s="2"/>
      <c r="I18" s="2"/>
      <c r="K18" s="8"/>
      <c r="L18" s="16"/>
      <c r="M18" s="13"/>
      <c r="N18" s="6"/>
      <c r="O18" s="7"/>
    </row>
    <row r="19" spans="1:15">
      <c r="A19" s="4"/>
      <c r="B19" s="4"/>
      <c r="G19" s="2"/>
      <c r="H19" s="2"/>
      <c r="I19" s="2"/>
      <c r="K19" s="8"/>
      <c r="L19" s="16"/>
      <c r="M19" s="13"/>
      <c r="N19" s="6"/>
      <c r="O19" s="7"/>
    </row>
    <row r="20" spans="1:15">
      <c r="A20" s="4"/>
      <c r="G20" s="2"/>
      <c r="H20" s="2"/>
      <c r="I20" s="2"/>
      <c r="K20" s="8"/>
      <c r="L20" s="16"/>
      <c r="M20" s="13"/>
      <c r="N20" s="6"/>
      <c r="O20" s="7"/>
    </row>
    <row r="21" spans="1:15">
      <c r="A21" s="4"/>
      <c r="K21" s="3"/>
      <c r="M21" s="13"/>
      <c r="N21" s="6"/>
    </row>
    <row r="22" spans="1:15">
      <c r="A22" s="4"/>
      <c r="K22" s="3"/>
      <c r="L22" s="4"/>
      <c r="M22" s="13"/>
      <c r="N22" s="10"/>
    </row>
    <row r="23" spans="1:15">
      <c r="A23" s="4"/>
      <c r="D23" s="17"/>
      <c r="K23" s="3"/>
      <c r="L23" s="4"/>
      <c r="M23" s="13"/>
      <c r="N23" s="10"/>
    </row>
    <row r="24" spans="1:15">
      <c r="K24" s="3"/>
    </row>
    <row r="25" spans="1:15">
      <c r="K25" s="3"/>
    </row>
    <row r="26" spans="1:15">
      <c r="N26" s="6">
        <f>SUM(N11:N25)</f>
        <v>139300</v>
      </c>
    </row>
    <row r="27" spans="1:15">
      <c r="N27" s="6"/>
    </row>
    <row r="28" spans="1:15">
      <c r="N28" s="6">
        <f>N26</f>
        <v>139300</v>
      </c>
    </row>
    <row r="29" spans="1:15">
      <c r="L29" s="2"/>
      <c r="M29" s="3">
        <v>7</v>
      </c>
      <c r="N29" s="6">
        <f>N28*7%</f>
        <v>9751.0000000000018</v>
      </c>
    </row>
    <row r="30" spans="1:15">
      <c r="L30" s="2"/>
      <c r="N30" s="6"/>
    </row>
    <row r="31" spans="1:15">
      <c r="C31" s="1" t="str">
        <f>BAHTTEXT(N31)</f>
        <v>หนึ่งแสนสี่หมื่นเก้าพันห้าสิบเอ็ดบาทถ้วน</v>
      </c>
      <c r="N31" s="6">
        <f>N28+N29</f>
        <v>149051</v>
      </c>
      <c r="O31" s="6"/>
    </row>
    <row r="32" spans="1:15">
      <c r="M32" s="14"/>
    </row>
    <row r="34" spans="13:13">
      <c r="M34" s="15"/>
    </row>
    <row r="35" spans="13:13">
      <c r="M35" s="15"/>
    </row>
  </sheetData>
  <pageMargins left="0" right="0.31496062992126" top="1" bottom="0.74803149606299202" header="0.31496062992126" footer="0.31496062992126"/>
  <pageSetup paperSize="9" scale="9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8.1</vt:lpstr>
      <vt:lpstr>12.1</vt:lpstr>
      <vt:lpstr>20.1</vt:lpstr>
      <vt:lpstr>26.1</vt:lpstr>
      <vt:lpstr>5.2</vt:lpstr>
      <vt:lpstr>12.2</vt:lpstr>
      <vt:lpstr>13.2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Acc01 Thanin</cp:lastModifiedBy>
  <cp:lastPrinted>2025-03-20T04:46:58Z</cp:lastPrinted>
  <dcterms:created xsi:type="dcterms:W3CDTF">2019-10-24T14:31:37Z</dcterms:created>
  <dcterms:modified xsi:type="dcterms:W3CDTF">2026-06-05T06:06:23Z</dcterms:modified>
</cp:coreProperties>
</file>