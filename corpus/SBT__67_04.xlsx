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01\Desktop\"/>
    </mc:Choice>
  </mc:AlternateContent>
  <xr:revisionPtr revIDLastSave="0" documentId="13_ncr:1_{BE8967D3-F2E3-4106-93A8-11DB9A808B14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2" sheetId="188" r:id="rId1"/>
    <sheet name="9" sheetId="189" r:id="rId2"/>
    <sheet name="16" sheetId="19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90" l="1"/>
  <c r="N14" i="190"/>
  <c r="N15" i="188"/>
  <c r="N14" i="188"/>
  <c r="N13" i="190"/>
  <c r="N12" i="190"/>
  <c r="N11" i="190"/>
  <c r="N13" i="189"/>
  <c r="N12" i="189"/>
  <c r="N11" i="189"/>
  <c r="N13" i="188"/>
  <c r="N12" i="188"/>
  <c r="N11" i="188"/>
  <c r="N26" i="190" l="1"/>
  <c r="N28" i="190" s="1"/>
  <c r="N29" i="190" s="1"/>
  <c r="N31" i="190" s="1"/>
  <c r="C31" i="190" s="1"/>
  <c r="N26" i="189"/>
  <c r="N28" i="189" s="1"/>
  <c r="N26" i="188"/>
  <c r="N28" i="188" s="1"/>
  <c r="N29" i="189"/>
  <c r="N31" i="189" s="1"/>
  <c r="C31" i="189" s="1"/>
  <c r="N29" i="188"/>
  <c r="N31" i="188" s="1"/>
  <c r="C31" i="188" s="1"/>
</calcChain>
</file>

<file path=xl/sharedStrings.xml><?xml version="1.0" encoding="utf-8"?>
<sst xmlns="http://schemas.openxmlformats.org/spreadsheetml/2006/main" count="41" uniqueCount="22">
  <si>
    <t xml:space="preserve">              ห้างหุ้นส่วนจำกัด ซีดับบลิวพี เอ็นจิเนียริ่ง  (สำนักงานใหญ่)</t>
  </si>
  <si>
    <t xml:space="preserve">เลขที่ 261/69 ถนนเทศบาล 2 ตำบลปากเพรียว </t>
  </si>
  <si>
    <t>อำเภอเมืองสระบุรี จังหวัดสระบุรี 18000</t>
  </si>
  <si>
    <t>เลขประจำตัวผู้เสียภาษีอากร 0193556001801</t>
  </si>
  <si>
    <t>กล่อง 3"x1.5"</t>
  </si>
  <si>
    <t>เส้น</t>
  </si>
  <si>
    <t>แป๊ปแบนการาไนช์ 3*1 1/2*1.4</t>
  </si>
  <si>
    <t>แป๊ปแบนการาไนช์ 3*11/2*1.4</t>
  </si>
  <si>
    <t xml:space="preserve">ใบมีดไผ่ </t>
  </si>
  <si>
    <t>Bearing 6202ZZ For   (ราคารวมลูกปืนแล้ว)</t>
  </si>
  <si>
    <t>ใบ</t>
  </si>
  <si>
    <t>ตัว</t>
  </si>
  <si>
    <t>Bearing 6204ZZ For (ราคารวมลูกปืนแล้ว)</t>
  </si>
  <si>
    <t>ฉาก 2"x4 มิล(เส้น)</t>
  </si>
  <si>
    <t>เพลาร้อยใบดี</t>
  </si>
  <si>
    <t>เพลาร้อยใบดี Ø18.25x8.55 mm.(L.R.3) (วัสดุ:เหล็กเพลาฟ้า)</t>
  </si>
  <si>
    <t>เกลียวซ้าย (วัสดุ :SS304)</t>
  </si>
  <si>
    <t>เกลียวขวา (วัสดุ :SS304)</t>
  </si>
  <si>
    <t>ATTACHMENT MN (วัสดุ:SS304)</t>
  </si>
  <si>
    <t>IV67040055</t>
  </si>
  <si>
    <t>IV67040230</t>
  </si>
  <si>
    <t>IV67040404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</si>
</sst>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sz val="14"/>
      <name val="Angsana New"/>
      <family val="1"/>
    </font>
    <font>
      <sz val="14"/>
      <color theme="1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/>
    </xf>
    <xf numFmtId="43" fontId="2" fillId="0" borderId="0" xfId="1" applyFont="1" applyAlignment="1">
      <alignment horizontal="right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43" fontId="2" fillId="0" borderId="0" xfId="1" applyFont="1"/>
    <xf numFmtId="1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3" fontId="4" fillId="0" borderId="0" xfId="1" applyNumberFormat="1" applyFont="1" applyAlignment="1">
      <alignment horizontal="center" vertical="center"/>
    </xf>
    <xf numFmtId="4" fontId="4" fillId="0" borderId="0" xfId="0" applyNumberFormat="1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5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98CF-9D94-44A3-9D0D-3954B8C0C2DA}">
  <dimension ref="A1:O35"/>
  <sheetViews>
    <sheetView view="pageBreakPreview" topLeftCell="A2" zoomScale="80" zoomScaleNormal="100" zoomScaleSheetLayoutView="80" workbookViewId="0">
      <selection activeCell="L4" sqref="L4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bestFit="1" customWidth="1"/>
    <col min="12" max="12" width="9.5703125" style="1" customWidth="1"/>
    <col min="13" max="13" width="9.85546875" style="3" customWidth="1"/>
    <col min="14" max="14" width="9.14062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19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243710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5" t="s">
        <v>4</v>
      </c>
      <c r="G11" s="2"/>
      <c r="H11" s="2"/>
      <c r="I11" s="2"/>
      <c r="K11" s="26">
        <v>50</v>
      </c>
      <c r="L11" s="27" t="s">
        <v>5</v>
      </c>
      <c r="M11" s="28">
        <v>310</v>
      </c>
      <c r="N11" s="6">
        <f>K11*M11</f>
        <v>15500</v>
      </c>
      <c r="O11" s="7"/>
    </row>
    <row r="12" spans="1:15">
      <c r="A12" s="4">
        <v>2</v>
      </c>
      <c r="B12" s="25" t="s">
        <v>6</v>
      </c>
      <c r="G12" s="2"/>
      <c r="H12" s="2"/>
      <c r="I12" s="2"/>
      <c r="K12" s="26">
        <v>50</v>
      </c>
      <c r="L12" s="27" t="s">
        <v>5</v>
      </c>
      <c r="M12" s="28">
        <v>391</v>
      </c>
      <c r="N12" s="6">
        <f>K12*M12</f>
        <v>19550</v>
      </c>
      <c r="O12" s="7"/>
    </row>
    <row r="13" spans="1:15">
      <c r="A13" s="4">
        <v>3</v>
      </c>
      <c r="B13" s="25" t="s">
        <v>7</v>
      </c>
      <c r="G13" s="2"/>
      <c r="H13" s="2"/>
      <c r="I13" s="2"/>
      <c r="K13" s="26">
        <v>50</v>
      </c>
      <c r="L13" s="27" t="s">
        <v>5</v>
      </c>
      <c r="M13" s="28">
        <v>391</v>
      </c>
      <c r="N13" s="6">
        <f>K13*M13</f>
        <v>19550</v>
      </c>
      <c r="O13" s="7"/>
    </row>
    <row r="14" spans="1:15">
      <c r="A14" s="4">
        <v>4</v>
      </c>
      <c r="B14" s="25" t="s">
        <v>8</v>
      </c>
      <c r="G14" s="2"/>
      <c r="H14" s="2"/>
      <c r="I14" s="2"/>
      <c r="K14" s="26">
        <v>100</v>
      </c>
      <c r="L14" s="27" t="s">
        <v>10</v>
      </c>
      <c r="M14" s="28">
        <v>68</v>
      </c>
      <c r="N14" s="6">
        <f>K14*M14</f>
        <v>6800</v>
      </c>
      <c r="O14" s="7"/>
    </row>
    <row r="15" spans="1:15">
      <c r="A15" s="4">
        <v>5</v>
      </c>
      <c r="B15" s="25" t="s">
        <v>9</v>
      </c>
      <c r="G15" s="2"/>
      <c r="H15" s="2"/>
      <c r="I15" s="2"/>
      <c r="K15" s="26">
        <v>68</v>
      </c>
      <c r="L15" s="27" t="s">
        <v>11</v>
      </c>
      <c r="M15" s="28">
        <v>200</v>
      </c>
      <c r="N15" s="6">
        <f>K15*M15</f>
        <v>13600</v>
      </c>
      <c r="O15" s="7"/>
    </row>
    <row r="16" spans="1:15">
      <c r="A16" s="4"/>
      <c r="G16" s="7"/>
      <c r="H16" s="7"/>
      <c r="I16" s="7"/>
      <c r="K16" s="14"/>
      <c r="M16" s="15"/>
      <c r="N16" s="6"/>
      <c r="O16" s="7"/>
    </row>
    <row r="17" spans="1:15">
      <c r="A17" s="4"/>
      <c r="G17" s="2"/>
      <c r="H17" s="2"/>
      <c r="I17" s="2"/>
      <c r="K17" s="8"/>
      <c r="M17" s="13"/>
      <c r="N17" s="6"/>
      <c r="O17" s="7"/>
    </row>
    <row r="18" spans="1:15">
      <c r="A18" s="4"/>
      <c r="B18" s="4"/>
      <c r="G18" s="2"/>
      <c r="H18" s="2"/>
      <c r="I18" s="2"/>
      <c r="K18" s="8"/>
      <c r="L18" s="16"/>
      <c r="M18" s="13"/>
      <c r="N18" s="6"/>
      <c r="O18" s="7"/>
    </row>
    <row r="19" spans="1:15">
      <c r="A19" s="4"/>
      <c r="B19" s="4"/>
      <c r="G19" s="2"/>
      <c r="H19" s="2"/>
      <c r="I19" s="2"/>
      <c r="K19" s="8"/>
      <c r="L19" s="16"/>
      <c r="M19" s="13"/>
      <c r="N19" s="6"/>
      <c r="O19" s="7"/>
    </row>
    <row r="20" spans="1:15">
      <c r="A20" s="4"/>
      <c r="G20" s="2"/>
      <c r="H20" s="2"/>
      <c r="I20" s="2"/>
      <c r="K20" s="8"/>
      <c r="L20" s="16"/>
      <c r="M20" s="13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75000</v>
      </c>
    </row>
    <row r="27" spans="1:15">
      <c r="N27" s="6"/>
    </row>
    <row r="28" spans="1:15">
      <c r="N28" s="6">
        <f>N26</f>
        <v>75000</v>
      </c>
    </row>
    <row r="29" spans="1:15">
      <c r="L29" s="2"/>
      <c r="M29" s="3">
        <v>7</v>
      </c>
      <c r="N29" s="6">
        <f>N28*7%</f>
        <v>5250.0000000000009</v>
      </c>
    </row>
    <row r="30" spans="1:15">
      <c r="L30" s="2"/>
      <c r="N30" s="6"/>
    </row>
    <row r="31" spans="1:15">
      <c r="C31" s="1" t="str">
        <f>BAHTTEXT(N31)</f>
        <v>แปดหมื่นสองร้อยห้าสิบบาทถ้วน</v>
      </c>
      <c r="N31" s="6">
        <f>N28+N29</f>
        <v>80250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.196850393700787" right="0.31496062992126" top="1" bottom="0.74803149606299202" header="0.31496062992126" footer="0.31496062992126"/>
  <pageSetup paperSize="9" scale="9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4773-787A-48B6-A54D-C3EAEADD07D0}">
  <dimension ref="A1:O35"/>
  <sheetViews>
    <sheetView view="pageBreakPreview" topLeftCell="A2" zoomScale="80" zoomScaleNormal="100" zoomScaleSheetLayoutView="80" workbookViewId="0">
      <selection activeCell="G20" sqref="G20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bestFit="1" customWidth="1"/>
    <col min="12" max="12" width="9.5703125" style="1" customWidth="1"/>
    <col min="13" max="13" width="9.85546875" style="3" customWidth="1"/>
    <col min="14" max="14" width="9.14062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20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243717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5" t="s">
        <v>12</v>
      </c>
      <c r="G11" s="2"/>
      <c r="H11" s="2"/>
      <c r="I11" s="2"/>
      <c r="K11" s="26">
        <v>100</v>
      </c>
      <c r="L11" s="27" t="s">
        <v>11</v>
      </c>
      <c r="M11" s="28">
        <v>230</v>
      </c>
      <c r="N11" s="6">
        <f>K11*M11</f>
        <v>23000</v>
      </c>
      <c r="O11" s="7"/>
    </row>
    <row r="12" spans="1:15">
      <c r="A12" s="4">
        <v>2</v>
      </c>
      <c r="B12" s="25" t="s">
        <v>13</v>
      </c>
      <c r="G12" s="2"/>
      <c r="H12" s="2"/>
      <c r="I12" s="2"/>
      <c r="K12" s="26">
        <v>50</v>
      </c>
      <c r="L12" s="27" t="s">
        <v>5</v>
      </c>
      <c r="M12" s="28">
        <v>490</v>
      </c>
      <c r="N12" s="6">
        <f>K12*M12</f>
        <v>24500</v>
      </c>
      <c r="O12" s="7"/>
    </row>
    <row r="13" spans="1:15">
      <c r="A13" s="4">
        <v>3</v>
      </c>
      <c r="B13" s="25" t="s">
        <v>4</v>
      </c>
      <c r="G13" s="2"/>
      <c r="H13" s="2"/>
      <c r="I13" s="2"/>
      <c r="K13" s="26">
        <v>60</v>
      </c>
      <c r="L13" s="27" t="s">
        <v>5</v>
      </c>
      <c r="M13" s="28">
        <v>310</v>
      </c>
      <c r="N13" s="6">
        <f>K13*M13</f>
        <v>18600</v>
      </c>
      <c r="O13" s="7"/>
    </row>
    <row r="14" spans="1:15">
      <c r="A14" s="4"/>
      <c r="B14" s="22"/>
      <c r="G14" s="2"/>
      <c r="H14" s="2"/>
      <c r="I14" s="2"/>
      <c r="K14" s="23"/>
      <c r="L14" s="22"/>
      <c r="M14" s="24"/>
      <c r="N14" s="6"/>
      <c r="O14" s="7"/>
    </row>
    <row r="15" spans="1:15">
      <c r="A15" s="4"/>
      <c r="B15" s="18"/>
      <c r="G15" s="2"/>
      <c r="H15" s="2"/>
      <c r="I15" s="2"/>
      <c r="K15" s="19"/>
      <c r="L15" s="21"/>
      <c r="M15" s="20"/>
      <c r="N15" s="6"/>
      <c r="O15" s="7"/>
    </row>
    <row r="16" spans="1:15">
      <c r="A16" s="4"/>
      <c r="G16" s="7"/>
      <c r="H16" s="7"/>
      <c r="I16" s="7"/>
      <c r="K16" s="14"/>
      <c r="M16" s="15"/>
      <c r="N16" s="6"/>
      <c r="O16" s="7"/>
    </row>
    <row r="17" spans="1:15">
      <c r="A17" s="4"/>
      <c r="G17" s="2"/>
      <c r="H17" s="2"/>
      <c r="I17" s="2"/>
      <c r="K17" s="8"/>
      <c r="M17" s="13"/>
      <c r="N17" s="6"/>
      <c r="O17" s="7"/>
    </row>
    <row r="18" spans="1:15">
      <c r="A18" s="4"/>
      <c r="B18" s="4"/>
      <c r="G18" s="2"/>
      <c r="H18" s="2"/>
      <c r="I18" s="2"/>
      <c r="K18" s="8"/>
      <c r="L18" s="16"/>
      <c r="M18" s="13"/>
      <c r="N18" s="6"/>
      <c r="O18" s="7"/>
    </row>
    <row r="19" spans="1:15">
      <c r="A19" s="4"/>
      <c r="B19" s="4"/>
      <c r="G19" s="2"/>
      <c r="H19" s="2"/>
      <c r="I19" s="2"/>
      <c r="K19" s="8"/>
      <c r="L19" s="16"/>
      <c r="M19" s="13"/>
      <c r="N19" s="6"/>
      <c r="O19" s="7"/>
    </row>
    <row r="20" spans="1:15">
      <c r="A20" s="4"/>
      <c r="G20" s="2"/>
      <c r="H20" s="2"/>
      <c r="I20" s="2"/>
      <c r="K20" s="8"/>
      <c r="L20" s="16"/>
      <c r="M20" s="13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66100</v>
      </c>
    </row>
    <row r="27" spans="1:15">
      <c r="N27" s="6"/>
    </row>
    <row r="28" spans="1:15">
      <c r="N28" s="6">
        <f>N26</f>
        <v>66100</v>
      </c>
    </row>
    <row r="29" spans="1:15">
      <c r="L29" s="2"/>
      <c r="M29" s="3">
        <v>7</v>
      </c>
      <c r="N29" s="6">
        <f>N28*7%</f>
        <v>4627</v>
      </c>
    </row>
    <row r="30" spans="1:15">
      <c r="L30" s="2"/>
      <c r="N30" s="6"/>
    </row>
    <row r="31" spans="1:15">
      <c r="C31" s="1" t="str">
        <f>BAHTTEXT(N31)</f>
        <v>เจ็ดหมื่นเจ็ดร้อยยี่สิบเจ็ดบาทถ้วน</v>
      </c>
      <c r="N31" s="6">
        <f>N28+N29</f>
        <v>70727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.196850393700787" right="0.31496062992126" top="1" bottom="0.74803149606299202" header="0.31496062992126" footer="0.31496062992126"/>
  <pageSetup paperSize="9" scale="9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E056-7E22-42CA-98AF-A9E2DB3A08BB}">
  <dimension ref="A1:O35"/>
  <sheetViews>
    <sheetView tabSelected="1" view="pageBreakPreview" topLeftCell="A2" zoomScale="80" zoomScaleNormal="100" zoomScaleSheetLayoutView="80" workbookViewId="0">
      <selection activeCell="I16" sqref="I16"/>
    </sheetView>
  </sheetViews>
  <sheetFormatPr defaultColWidth="8.85546875" defaultRowHeight="21"/>
  <cols>
    <col min="1" max="1" width="9" style="1" bestFit="1" customWidth="1"/>
    <col min="2" max="2" width="3.42578125" style="1" customWidth="1"/>
    <col min="3" max="4" width="8.85546875" style="1"/>
    <col min="5" max="5" width="11.140625" style="1" customWidth="1"/>
    <col min="6" max="6" width="5.85546875" style="1" customWidth="1"/>
    <col min="7" max="7" width="5.5703125" style="1" customWidth="1"/>
    <col min="8" max="8" width="2.5703125" style="1" customWidth="1"/>
    <col min="9" max="10" width="5.5703125" style="1" customWidth="1"/>
    <col min="11" max="11" width="9" style="1" bestFit="1" customWidth="1"/>
    <col min="12" max="12" width="9.5703125" style="1" customWidth="1"/>
    <col min="13" max="13" width="9.85546875" style="3" customWidth="1"/>
    <col min="14" max="14" width="9.140625" style="1" customWidth="1"/>
    <col min="15" max="16384" width="8.85546875" style="1"/>
  </cols>
  <sheetData>
    <row r="1" spans="1:15" ht="55.5" customHeight="1"/>
    <row r="2" spans="1:15" ht="24.75" customHeight="1"/>
    <row r="3" spans="1:15">
      <c r="A3" s="9" t="s">
        <v>0</v>
      </c>
      <c r="B3" s="9"/>
      <c r="L3" s="4" t="s">
        <v>21</v>
      </c>
      <c r="N3" s="11"/>
      <c r="O3" s="11"/>
    </row>
    <row r="4" spans="1:15">
      <c r="A4" s="9" t="s">
        <v>1</v>
      </c>
      <c r="B4" s="9"/>
      <c r="L4" s="4"/>
    </row>
    <row r="5" spans="1:15">
      <c r="A5" s="9" t="s">
        <v>2</v>
      </c>
      <c r="B5" s="9"/>
      <c r="L5" s="11">
        <v>243724</v>
      </c>
      <c r="M5" s="5"/>
    </row>
    <row r="6" spans="1:15">
      <c r="A6" s="9" t="s">
        <v>3</v>
      </c>
      <c r="B6" s="9"/>
      <c r="K6" s="2"/>
      <c r="L6" s="4"/>
      <c r="N6" s="12"/>
    </row>
    <row r="7" spans="1:15">
      <c r="B7" s="9"/>
      <c r="O7" s="5"/>
    </row>
    <row r="10" spans="1:15">
      <c r="A10" s="4"/>
      <c r="K10" s="2"/>
    </row>
    <row r="11" spans="1:15">
      <c r="A11" s="4">
        <v>1</v>
      </c>
      <c r="B11" s="25" t="s">
        <v>14</v>
      </c>
      <c r="G11" s="2"/>
      <c r="H11" s="2"/>
      <c r="I11" s="2"/>
      <c r="K11" s="26">
        <v>39</v>
      </c>
      <c r="L11" s="27" t="s">
        <v>11</v>
      </c>
      <c r="M11" s="28">
        <v>750</v>
      </c>
      <c r="N11" s="6">
        <f>K11*M11</f>
        <v>29250</v>
      </c>
      <c r="O11" s="7"/>
    </row>
    <row r="12" spans="1:15">
      <c r="A12" s="4">
        <v>2</v>
      </c>
      <c r="B12" s="25" t="s">
        <v>15</v>
      </c>
      <c r="G12" s="2"/>
      <c r="H12" s="2"/>
      <c r="I12" s="2"/>
      <c r="K12" s="26">
        <v>40</v>
      </c>
      <c r="L12" s="27" t="s">
        <v>11</v>
      </c>
      <c r="M12" s="28">
        <v>750</v>
      </c>
      <c r="N12" s="6">
        <f>K12*M12</f>
        <v>30000</v>
      </c>
      <c r="O12" s="7"/>
    </row>
    <row r="13" spans="1:15">
      <c r="A13" s="4">
        <v>3</v>
      </c>
      <c r="B13" s="25" t="s">
        <v>16</v>
      </c>
      <c r="G13" s="2"/>
      <c r="H13" s="2"/>
      <c r="I13" s="2"/>
      <c r="K13" s="26">
        <v>29</v>
      </c>
      <c r="L13" s="27" t="s">
        <v>11</v>
      </c>
      <c r="M13" s="28">
        <v>350</v>
      </c>
      <c r="N13" s="6">
        <f>K13*M13</f>
        <v>10150</v>
      </c>
      <c r="O13" s="7"/>
    </row>
    <row r="14" spans="1:15">
      <c r="A14" s="4">
        <v>4</v>
      </c>
      <c r="B14" s="25" t="s">
        <v>17</v>
      </c>
      <c r="G14" s="2"/>
      <c r="H14" s="2"/>
      <c r="I14" s="2"/>
      <c r="K14" s="26">
        <v>30</v>
      </c>
      <c r="L14" s="27" t="s">
        <v>11</v>
      </c>
      <c r="M14" s="28">
        <v>350</v>
      </c>
      <c r="N14" s="6">
        <f>K14*M14</f>
        <v>10500</v>
      </c>
      <c r="O14" s="7"/>
    </row>
    <row r="15" spans="1:15">
      <c r="A15" s="4">
        <v>5</v>
      </c>
      <c r="B15" s="25" t="s">
        <v>18</v>
      </c>
      <c r="G15" s="2"/>
      <c r="H15" s="2"/>
      <c r="I15" s="2"/>
      <c r="K15" s="26">
        <v>30</v>
      </c>
      <c r="L15" s="27" t="s">
        <v>11</v>
      </c>
      <c r="M15" s="28">
        <v>350</v>
      </c>
      <c r="N15" s="6">
        <f>K15*M15</f>
        <v>10500</v>
      </c>
      <c r="O15" s="7"/>
    </row>
    <row r="16" spans="1:15">
      <c r="A16" s="4"/>
      <c r="B16" s="25"/>
      <c r="G16" s="7"/>
      <c r="H16" s="7"/>
      <c r="I16" s="7"/>
      <c r="K16" s="14"/>
      <c r="M16" s="15"/>
      <c r="N16" s="6"/>
      <c r="O16" s="7"/>
    </row>
    <row r="17" spans="1:15">
      <c r="A17" s="4"/>
      <c r="G17" s="2"/>
      <c r="H17" s="2"/>
      <c r="I17" s="2"/>
      <c r="K17" s="8"/>
      <c r="M17" s="13"/>
      <c r="N17" s="6"/>
      <c r="O17" s="7"/>
    </row>
    <row r="18" spans="1:15">
      <c r="A18" s="4"/>
      <c r="B18" s="4"/>
      <c r="G18" s="2"/>
      <c r="H18" s="2"/>
      <c r="I18" s="2"/>
      <c r="K18" s="8"/>
      <c r="L18" s="16"/>
      <c r="M18" s="13"/>
      <c r="N18" s="6"/>
      <c r="O18" s="7"/>
    </row>
    <row r="19" spans="1:15">
      <c r="A19" s="4"/>
      <c r="B19" s="4"/>
      <c r="G19" s="2"/>
      <c r="H19" s="2"/>
      <c r="I19" s="2"/>
      <c r="K19" s="8"/>
      <c r="L19" s="16"/>
      <c r="M19" s="13"/>
      <c r="N19" s="6"/>
      <c r="O19" s="7"/>
    </row>
    <row r="20" spans="1:15">
      <c r="A20" s="4"/>
      <c r="G20" s="2"/>
      <c r="H20" s="2"/>
      <c r="I20" s="2"/>
      <c r="K20" s="8"/>
      <c r="L20" s="16"/>
      <c r="M20" s="13"/>
      <c r="N20" s="6"/>
      <c r="O20" s="7"/>
    </row>
    <row r="21" spans="1:15">
      <c r="A21" s="4"/>
      <c r="K21" s="3"/>
      <c r="M21" s="13"/>
      <c r="N21" s="6"/>
    </row>
    <row r="22" spans="1:15">
      <c r="A22" s="4"/>
      <c r="K22" s="3"/>
      <c r="L22" s="4"/>
      <c r="M22" s="13"/>
      <c r="N22" s="10"/>
    </row>
    <row r="23" spans="1:15">
      <c r="A23" s="4"/>
      <c r="D23" s="17"/>
      <c r="K23" s="3"/>
      <c r="L23" s="4"/>
      <c r="M23" s="13"/>
      <c r="N23" s="10"/>
    </row>
    <row r="24" spans="1:15">
      <c r="K24" s="3"/>
    </row>
    <row r="25" spans="1:15">
      <c r="K25" s="3"/>
    </row>
    <row r="26" spans="1:15">
      <c r="N26" s="6">
        <f>SUM(N11:N25)</f>
        <v>90400</v>
      </c>
    </row>
    <row r="27" spans="1:15">
      <c r="N27" s="6"/>
    </row>
    <row r="28" spans="1:15">
      <c r="N28" s="6">
        <f>N26</f>
        <v>90400</v>
      </c>
    </row>
    <row r="29" spans="1:15">
      <c r="L29" s="2"/>
      <c r="M29" s="3">
        <v>7</v>
      </c>
      <c r="N29" s="6">
        <f>N28*7%</f>
        <v>6328.0000000000009</v>
      </c>
    </row>
    <row r="30" spans="1:15">
      <c r="L30" s="2"/>
      <c r="N30" s="6"/>
    </row>
    <row r="31" spans="1:15">
      <c r="C31" s="1" t="str">
        <f>BAHTTEXT(N31)</f>
        <v>เก้าหมื่นหกพันเจ็ดร้อยยี่สิบแปดบาทถ้วน</v>
      </c>
      <c r="N31" s="6">
        <f>N28+N29</f>
        <v>96728</v>
      </c>
      <c r="O31" s="6"/>
    </row>
    <row r="32" spans="1:15">
      <c r="M32" s="14"/>
    </row>
    <row r="34" spans="13:13">
      <c r="M34" s="15"/>
    </row>
    <row r="35" spans="13:13">
      <c r="M35" s="15"/>
    </row>
  </sheetData>
  <pageMargins left="0.196850393700787" right="0.31496062992126" top="1" bottom="0.74803149606299202" header="0.31496062992126" footer="0.31496062992126"/>
  <pageSetup paperSize="9" scale="9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</vt:lpstr>
      <vt:lpstr>9</vt:lpstr>
      <vt:lpstr>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Acc01 Thanin</cp:lastModifiedBy>
  <cp:lastPrinted>2023-08-25T04:23:24Z</cp:lastPrinted>
  <dcterms:created xsi:type="dcterms:W3CDTF">2019-10-24T14:31:37Z</dcterms:created>
  <dcterms:modified xsi:type="dcterms:W3CDTF">2026-05-27T04:41:17Z</dcterms:modified>
</cp:coreProperties>
</file>