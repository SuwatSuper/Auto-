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01\Desktop\"/>
    </mc:Choice>
  </mc:AlternateContent>
  <xr:revisionPtr revIDLastSave="0" documentId="8_{477C00F5-E3F7-4EBD-A35B-DFFB86B0E30E}" xr6:coauthVersionLast="47" xr6:coauthVersionMax="47" xr10:uidLastSave="{00000000-0000-0000-0000-000000000000}"/>
  <bookViews>
    <workbookView xWindow="4905" yWindow="7395" windowWidth="19485" windowHeight="7455" firstSheet="43" activeTab="49" xr2:uid="{A3928A7B-EC0C-42BD-8A5A-32B05805EA32}"/>
  </bookViews>
  <sheets>
    <sheet name="2" sheetId="87" r:id="rId1"/>
    <sheet name="3" sheetId="88" r:id="rId2"/>
    <sheet name="5" sheetId="89" r:id="rId3"/>
    <sheet name="3 (2)" sheetId="90" r:id="rId4"/>
    <sheet name="6" sheetId="91" r:id="rId5"/>
    <sheet name="5 (2)" sheetId="92" r:id="rId6"/>
    <sheet name="5 (3)" sheetId="93" r:id="rId7"/>
    <sheet name="6 (2)" sheetId="94" r:id="rId8"/>
    <sheet name="7" sheetId="95" r:id="rId9"/>
    <sheet name="7 (2)" sheetId="96" r:id="rId10"/>
    <sheet name="7 (3)" sheetId="97" r:id="rId11"/>
    <sheet name="8" sheetId="98" r:id="rId12"/>
    <sheet name="8 (2)" sheetId="99" r:id="rId13"/>
    <sheet name="9" sheetId="100" r:id="rId14"/>
    <sheet name="9 (2)" sheetId="101" r:id="rId15"/>
    <sheet name="10" sheetId="102" r:id="rId16"/>
    <sheet name="10 (2)" sheetId="103" r:id="rId17"/>
    <sheet name="10 (3)" sheetId="104" r:id="rId18"/>
    <sheet name="13" sheetId="105" r:id="rId19"/>
    <sheet name="13 (2)" sheetId="106" r:id="rId20"/>
    <sheet name="13 (3)" sheetId="107" r:id="rId21"/>
    <sheet name="14" sheetId="108" r:id="rId22"/>
    <sheet name="14 (2)" sheetId="109" r:id="rId23"/>
    <sheet name="14 (3)" sheetId="110" r:id="rId24"/>
    <sheet name="14 (4)" sheetId="111" r:id="rId25"/>
    <sheet name="15" sheetId="112" r:id="rId26"/>
    <sheet name="15 (2)" sheetId="113" r:id="rId27"/>
    <sheet name="16" sheetId="114" r:id="rId28"/>
    <sheet name="19" sheetId="115" r:id="rId29"/>
    <sheet name="16 (2)" sheetId="116" r:id="rId30"/>
    <sheet name="19 (2)" sheetId="117" r:id="rId31"/>
    <sheet name="19 (3)" sheetId="118" r:id="rId32"/>
    <sheet name="20" sheetId="119" r:id="rId33"/>
    <sheet name="20 (2)" sheetId="120" r:id="rId34"/>
    <sheet name="20 (3)" sheetId="121" r:id="rId35"/>
    <sheet name="21" sheetId="122" r:id="rId36"/>
    <sheet name="23" sheetId="123" r:id="rId37"/>
    <sheet name="21 (2)" sheetId="124" r:id="rId38"/>
    <sheet name="22" sheetId="125" r:id="rId39"/>
    <sheet name="22 (2)" sheetId="126" r:id="rId40"/>
    <sheet name="24" sheetId="127" r:id="rId41"/>
    <sheet name="24 (2)" sheetId="128" r:id="rId42"/>
    <sheet name="23 (2)" sheetId="129" r:id="rId43"/>
    <sheet name="24 (3)" sheetId="130" r:id="rId44"/>
    <sheet name="26" sheetId="131" r:id="rId45"/>
    <sheet name="26 (2)" sheetId="132" r:id="rId46"/>
    <sheet name="31" sheetId="133" r:id="rId47"/>
    <sheet name="26 (3)" sheetId="134" r:id="rId48"/>
    <sheet name="30" sheetId="147" r:id="rId49"/>
    <sheet name="31 (2)" sheetId="148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148" l="1"/>
  <c r="L15" i="148"/>
  <c r="L14" i="148"/>
  <c r="L15" i="147"/>
  <c r="L14" i="147"/>
  <c r="L30" i="147" s="1"/>
  <c r="L15" i="132"/>
  <c r="L15" i="131"/>
  <c r="L16" i="131"/>
  <c r="L15" i="130"/>
  <c r="L15" i="129"/>
  <c r="L15" i="128"/>
  <c r="L16" i="125"/>
  <c r="L15" i="116"/>
  <c r="L15" i="115"/>
  <c r="L15" i="114"/>
  <c r="L15" i="113"/>
  <c r="L15" i="112"/>
  <c r="L15" i="102"/>
  <c r="L15" i="101"/>
  <c r="L15" i="100"/>
  <c r="L15" i="99"/>
  <c r="L16" i="99"/>
  <c r="L15" i="98"/>
  <c r="L16" i="93"/>
  <c r="L16" i="89"/>
  <c r="L16" i="134"/>
  <c r="L15" i="134"/>
  <c r="L14" i="134"/>
  <c r="L30" i="134" s="1"/>
  <c r="L16" i="133"/>
  <c r="L15" i="133"/>
  <c r="L14" i="133"/>
  <c r="L30" i="133" s="1"/>
  <c r="L31" i="133" s="1"/>
  <c r="L14" i="132"/>
  <c r="L14" i="131"/>
  <c r="L30" i="131" s="1"/>
  <c r="L14" i="130"/>
  <c r="L30" i="130" s="1"/>
  <c r="L14" i="129"/>
  <c r="L30" i="129" s="1"/>
  <c r="L31" i="129" s="1"/>
  <c r="L14" i="128"/>
  <c r="L15" i="127"/>
  <c r="L14" i="127"/>
  <c r="L30" i="127" s="1"/>
  <c r="L15" i="126"/>
  <c r="L14" i="126"/>
  <c r="L30" i="126" s="1"/>
  <c r="L15" i="125"/>
  <c r="L14" i="125"/>
  <c r="L15" i="124"/>
  <c r="L14" i="124"/>
  <c r="L30" i="124" s="1"/>
  <c r="L15" i="123"/>
  <c r="L14" i="123"/>
  <c r="L30" i="123" s="1"/>
  <c r="L15" i="122"/>
  <c r="L14" i="122"/>
  <c r="L30" i="122" s="1"/>
  <c r="L16" i="121"/>
  <c r="L15" i="121"/>
  <c r="L14" i="121"/>
  <c r="L30" i="121" s="1"/>
  <c r="L30" i="120"/>
  <c r="L15" i="120"/>
  <c r="L14" i="120"/>
  <c r="L15" i="119"/>
  <c r="L14" i="119"/>
  <c r="L30" i="119" s="1"/>
  <c r="L15" i="118"/>
  <c r="L14" i="118"/>
  <c r="L30" i="118" s="1"/>
  <c r="L31" i="118" s="1"/>
  <c r="L15" i="117"/>
  <c r="L14" i="117"/>
  <c r="L14" i="116"/>
  <c r="L14" i="115"/>
  <c r="L14" i="114"/>
  <c r="L30" i="114" s="1"/>
  <c r="L14" i="113"/>
  <c r="L14" i="112"/>
  <c r="L15" i="111"/>
  <c r="L14" i="111"/>
  <c r="L15" i="110"/>
  <c r="L14" i="110"/>
  <c r="L15" i="109"/>
  <c r="L14" i="109"/>
  <c r="L30" i="109" s="1"/>
  <c r="L15" i="108"/>
  <c r="L14" i="108"/>
  <c r="L30" i="108" s="1"/>
  <c r="L16" i="107"/>
  <c r="L15" i="107"/>
  <c r="L14" i="107"/>
  <c r="L15" i="106"/>
  <c r="L14" i="106"/>
  <c r="L30" i="106" s="1"/>
  <c r="L15" i="105"/>
  <c r="L14" i="105"/>
  <c r="L30" i="105" s="1"/>
  <c r="L15" i="104"/>
  <c r="L14" i="104"/>
  <c r="L15" i="103"/>
  <c r="L14" i="103"/>
  <c r="L30" i="103" s="1"/>
  <c r="L14" i="102"/>
  <c r="L30" i="102" s="1"/>
  <c r="L14" i="101"/>
  <c r="L14" i="100"/>
  <c r="L30" i="100" s="1"/>
  <c r="L14" i="99"/>
  <c r="L30" i="99" s="1"/>
  <c r="L14" i="98"/>
  <c r="L15" i="97"/>
  <c r="L14" i="97"/>
  <c r="L30" i="97" s="1"/>
  <c r="L15" i="96"/>
  <c r="L14" i="96"/>
  <c r="L30" i="96" s="1"/>
  <c r="L15" i="95"/>
  <c r="L14" i="95"/>
  <c r="L30" i="95" s="1"/>
  <c r="L15" i="94"/>
  <c r="L14" i="94"/>
  <c r="L30" i="94" s="1"/>
  <c r="L15" i="93"/>
  <c r="L14" i="93"/>
  <c r="L15" i="92"/>
  <c r="L14" i="92"/>
  <c r="L30" i="92" s="1"/>
  <c r="L14" i="91"/>
  <c r="L30" i="91" s="1"/>
  <c r="L14" i="90"/>
  <c r="L30" i="90" s="1"/>
  <c r="L15" i="89"/>
  <c r="L14" i="89"/>
  <c r="L15" i="88"/>
  <c r="L14" i="88"/>
  <c r="L15" i="87"/>
  <c r="L14" i="87"/>
  <c r="L31" i="147" l="1"/>
  <c r="L32" i="147" s="1"/>
  <c r="A30" i="147" s="1"/>
  <c r="L31" i="148"/>
  <c r="L32" i="148" s="1"/>
  <c r="A30" i="148" s="1"/>
  <c r="L30" i="132"/>
  <c r="L30" i="128"/>
  <c r="L30" i="125"/>
  <c r="L31" i="125" s="1"/>
  <c r="L30" i="116"/>
  <c r="L30" i="115"/>
  <c r="L30" i="113"/>
  <c r="L30" i="112"/>
  <c r="L30" i="111"/>
  <c r="L30" i="98"/>
  <c r="L30" i="89"/>
  <c r="L32" i="123"/>
  <c r="A30" i="123" s="1"/>
  <c r="L31" i="132"/>
  <c r="L32" i="132" s="1"/>
  <c r="A30" i="132" s="1"/>
  <c r="L31" i="120"/>
  <c r="L32" i="120" s="1"/>
  <c r="A30" i="120" s="1"/>
  <c r="L31" i="123"/>
  <c r="L31" i="127"/>
  <c r="L32" i="127" s="1"/>
  <c r="A30" i="127" s="1"/>
  <c r="L32" i="133"/>
  <c r="A30" i="133" s="1"/>
  <c r="L32" i="118"/>
  <c r="A30" i="118" s="1"/>
  <c r="L32" i="129"/>
  <c r="A30" i="129" s="1"/>
  <c r="L31" i="134"/>
  <c r="L32" i="134" s="1"/>
  <c r="A30" i="134" s="1"/>
  <c r="L31" i="124"/>
  <c r="L32" i="124" s="1"/>
  <c r="A30" i="124" s="1"/>
  <c r="L31" i="128"/>
  <c r="L32" i="128" s="1"/>
  <c r="A30" i="128" s="1"/>
  <c r="L31" i="121"/>
  <c r="L32" i="121" s="1"/>
  <c r="A30" i="121" s="1"/>
  <c r="L31" i="130"/>
  <c r="L32" i="130" s="1"/>
  <c r="A30" i="130" s="1"/>
  <c r="L31" i="119"/>
  <c r="L32" i="119" s="1"/>
  <c r="A30" i="119" s="1"/>
  <c r="L31" i="126"/>
  <c r="L32" i="126" s="1"/>
  <c r="A30" i="126" s="1"/>
  <c r="L31" i="131"/>
  <c r="L32" i="131" s="1"/>
  <c r="A30" i="131" s="1"/>
  <c r="L30" i="117"/>
  <c r="L31" i="122"/>
  <c r="L32" i="122" s="1"/>
  <c r="A30" i="122" s="1"/>
  <c r="L30" i="110"/>
  <c r="L30" i="107"/>
  <c r="L31" i="107" s="1"/>
  <c r="L32" i="107" s="1"/>
  <c r="A30" i="107" s="1"/>
  <c r="L30" i="104"/>
  <c r="L31" i="104" s="1"/>
  <c r="L32" i="104" s="1"/>
  <c r="A30" i="104" s="1"/>
  <c r="L30" i="101"/>
  <c r="L31" i="101" s="1"/>
  <c r="L32" i="101" s="1"/>
  <c r="A30" i="101" s="1"/>
  <c r="L30" i="93"/>
  <c r="L30" i="88"/>
  <c r="L31" i="88" s="1"/>
  <c r="L32" i="88" s="1"/>
  <c r="A30" i="88" s="1"/>
  <c r="L31" i="116"/>
  <c r="L32" i="116" s="1"/>
  <c r="A30" i="116" s="1"/>
  <c r="L31" i="115"/>
  <c r="L32" i="115" s="1"/>
  <c r="A30" i="115" s="1"/>
  <c r="L31" i="114"/>
  <c r="L32" i="114" s="1"/>
  <c r="A30" i="114" s="1"/>
  <c r="L31" i="113"/>
  <c r="L32" i="113" s="1"/>
  <c r="A30" i="113" s="1"/>
  <c r="L31" i="112"/>
  <c r="L32" i="112" s="1"/>
  <c r="A30" i="112" s="1"/>
  <c r="L31" i="111"/>
  <c r="L32" i="111" s="1"/>
  <c r="A30" i="111" s="1"/>
  <c r="L31" i="110"/>
  <c r="L32" i="110" s="1"/>
  <c r="A30" i="110" s="1"/>
  <c r="L31" i="109"/>
  <c r="L32" i="109" s="1"/>
  <c r="A30" i="109" s="1"/>
  <c r="L31" i="108"/>
  <c r="L32" i="108" s="1"/>
  <c r="A30" i="108" s="1"/>
  <c r="L31" i="106"/>
  <c r="L32" i="106" s="1"/>
  <c r="A30" i="106" s="1"/>
  <c r="L31" i="105"/>
  <c r="L32" i="105" s="1"/>
  <c r="A30" i="105" s="1"/>
  <c r="L31" i="103"/>
  <c r="L32" i="103" s="1"/>
  <c r="A30" i="103" s="1"/>
  <c r="L31" i="102"/>
  <c r="L32" i="102"/>
  <c r="A30" i="102" s="1"/>
  <c r="L31" i="100"/>
  <c r="L32" i="100" s="1"/>
  <c r="A30" i="100" s="1"/>
  <c r="L31" i="99"/>
  <c r="L32" i="99" s="1"/>
  <c r="A30" i="99" s="1"/>
  <c r="L31" i="98"/>
  <c r="L32" i="98" s="1"/>
  <c r="A30" i="98" s="1"/>
  <c r="L31" i="97"/>
  <c r="L32" i="97" s="1"/>
  <c r="A30" i="97" s="1"/>
  <c r="L31" i="96"/>
  <c r="L32" i="96" s="1"/>
  <c r="A30" i="96" s="1"/>
  <c r="L31" i="95"/>
  <c r="L32" i="95" s="1"/>
  <c r="A30" i="95" s="1"/>
  <c r="L31" i="94"/>
  <c r="L32" i="94" s="1"/>
  <c r="A30" i="94" s="1"/>
  <c r="L31" i="92"/>
  <c r="L32" i="92" s="1"/>
  <c r="A30" i="92" s="1"/>
  <c r="L31" i="91"/>
  <c r="L32" i="91" s="1"/>
  <c r="A30" i="91" s="1"/>
  <c r="L31" i="90"/>
  <c r="L32" i="90" s="1"/>
  <c r="A30" i="90" s="1"/>
  <c r="L31" i="89"/>
  <c r="L32" i="89" s="1"/>
  <c r="A30" i="89" s="1"/>
  <c r="L30" i="87"/>
  <c r="L31" i="87" s="1"/>
  <c r="L32" i="87" s="1"/>
  <c r="A30" i="87" s="1"/>
  <c r="L32" i="125" l="1"/>
  <c r="A30" i="125" s="1"/>
  <c r="L31" i="117"/>
  <c r="L32" i="117" s="1"/>
  <c r="A30" i="117" s="1"/>
  <c r="L31" i="93"/>
  <c r="L32" i="93" s="1"/>
  <c r="A30" i="93" s="1"/>
</calcChain>
</file>

<file path=xl/sharedStrings.xml><?xml version="1.0" encoding="utf-8"?>
<sst xmlns="http://schemas.openxmlformats.org/spreadsheetml/2006/main" count="457" uniqueCount="60">
  <si>
    <t>เงินสด</t>
  </si>
  <si>
    <t>Store</t>
  </si>
  <si>
    <t>ด-100</t>
  </si>
  <si>
    <t xml:space="preserve">บริษัท อีแอ่น 2019 จำกัด (สำนักงานใหญ่) </t>
  </si>
  <si>
    <t>7/22 หมู่ที่ 4 ตำบลวัดชลอ อำเภอบางกรวย จังหวัดนนทบุรี 11130</t>
  </si>
  <si>
    <t>เลขประจำตัวผู้เสียภาษี  0125562018747</t>
  </si>
  <si>
    <t>ผ้า</t>
  </si>
  <si>
    <t>กระดุม</t>
  </si>
  <si>
    <t>ซิป</t>
  </si>
  <si>
    <t>ด้าย</t>
  </si>
  <si>
    <t>IV2567080044</t>
  </si>
  <si>
    <t>IV2567080071</t>
  </si>
  <si>
    <t>IV2567080116</t>
  </si>
  <si>
    <t>IV2567080072</t>
  </si>
  <si>
    <t>IV2567080154</t>
  </si>
  <si>
    <t>IV2567080117</t>
  </si>
  <si>
    <t>IV2567080118</t>
  </si>
  <si>
    <t>IV2567080155</t>
  </si>
  <si>
    <t>IV2567080193</t>
  </si>
  <si>
    <t>IV2567080194</t>
  </si>
  <si>
    <t>IV2567080195</t>
  </si>
  <si>
    <t>IV2567080243</t>
  </si>
  <si>
    <t>IV2567080244</t>
  </si>
  <si>
    <t>IV2567080281</t>
  </si>
  <si>
    <t>IV2567080282</t>
  </si>
  <si>
    <t>IV2567080317</t>
  </si>
  <si>
    <t>IV2567080318</t>
  </si>
  <si>
    <t>IV2567080319</t>
  </si>
  <si>
    <t>IV2567080332</t>
  </si>
  <si>
    <t>IV2567080333</t>
  </si>
  <si>
    <t>IV2567080334</t>
  </si>
  <si>
    <t>IV2567080373</t>
  </si>
  <si>
    <t>IV2567080374</t>
  </si>
  <si>
    <t>IV2567080375</t>
  </si>
  <si>
    <t>IV2567080376</t>
  </si>
  <si>
    <t>IV2567080407</t>
  </si>
  <si>
    <t>IV2567080408</t>
  </si>
  <si>
    <t>IV2567080439</t>
  </si>
  <si>
    <t>IV2567080440</t>
  </si>
  <si>
    <t>IV2567080500</t>
  </si>
  <si>
    <t>IV2567080501</t>
  </si>
  <si>
    <t>IV2567080502</t>
  </si>
  <si>
    <t>IV2567080536</t>
  </si>
  <si>
    <t>IV2567080537</t>
  </si>
  <si>
    <t>IV2567080538</t>
  </si>
  <si>
    <t>IV2567080582</t>
  </si>
  <si>
    <t>IV2567080583</t>
  </si>
  <si>
    <t>IV2567080649</t>
  </si>
  <si>
    <t>IV2567080621</t>
  </si>
  <si>
    <t>IV2567080622</t>
  </si>
  <si>
    <t>IV2567080691</t>
  </si>
  <si>
    <t>IV2567080692</t>
  </si>
  <si>
    <t>IV2567080693</t>
  </si>
  <si>
    <t>IV2567080650</t>
  </si>
  <si>
    <t>IV2567080736</t>
  </si>
  <si>
    <t>IV2567080737</t>
  </si>
  <si>
    <t>IV2567080738</t>
  </si>
  <si>
    <t>IV2567080895</t>
  </si>
  <si>
    <t>IV2567080921</t>
  </si>
  <si>
    <t>IV2567080922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</si>
</sst>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name val="Arial"/>
      <charset val="222"/>
    </font>
    <font>
      <sz val="10"/>
      <name val="Arial"/>
      <family val="2"/>
    </font>
    <font>
      <sz val="14"/>
      <name val="Cordia New"/>
      <family val="2"/>
    </font>
    <font>
      <sz val="14"/>
      <name val="Angsana New"/>
      <family val="1"/>
    </font>
    <font>
      <sz val="14"/>
      <color theme="1"/>
      <name val="Angsana New"/>
      <family val="1"/>
    </font>
    <font>
      <sz val="14"/>
      <color rgb="FFFF0000"/>
      <name val="Angsana New"/>
      <family val="1"/>
    </font>
    <font>
      <sz val="14"/>
      <color theme="1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2" applyFont="1" applyAlignment="1">
      <alignment horizontal="left" vertical="center"/>
    </xf>
    <xf numFmtId="0" fontId="3" fillId="0" borderId="0" xfId="2" quotePrefix="1" applyFont="1" applyAlignment="1">
      <alignment horizontal="left" vertical="center"/>
    </xf>
    <xf numFmtId="14" fontId="3" fillId="0" borderId="0" xfId="1" quotePrefix="1" applyNumberFormat="1" applyFont="1" applyBorder="1" applyAlignment="1">
      <alignment horizontal="right" vertical="center"/>
    </xf>
    <xf numFmtId="14" fontId="3" fillId="0" borderId="0" xfId="1" quotePrefix="1" applyNumberFormat="1" applyFont="1" applyBorder="1" applyAlignment="1">
      <alignment horizontal="left" vertical="center"/>
    </xf>
    <xf numFmtId="14" fontId="3" fillId="0" borderId="0" xfId="1" quotePrefix="1" applyNumberFormat="1" applyFont="1" applyBorder="1" applyAlignment="1">
      <alignment vertical="center"/>
    </xf>
    <xf numFmtId="0" fontId="3" fillId="0" borderId="0" xfId="2" applyFont="1" applyAlignment="1">
      <alignment vertical="center"/>
    </xf>
    <xf numFmtId="14" fontId="3" fillId="0" borderId="0" xfId="1" quotePrefix="1" applyNumberFormat="1" applyFont="1" applyAlignment="1">
      <alignment horizontal="right" vertical="center"/>
    </xf>
    <xf numFmtId="14" fontId="3" fillId="0" borderId="0" xfId="1" quotePrefix="1" applyNumberFormat="1" applyFont="1" applyAlignment="1">
      <alignment horizontal="left" vertical="center"/>
    </xf>
    <xf numFmtId="14" fontId="3" fillId="0" borderId="0" xfId="1" quotePrefix="1" applyNumberFormat="1" applyFont="1" applyAlignment="1">
      <alignment vertical="center"/>
    </xf>
    <xf numFmtId="14" fontId="3" fillId="0" borderId="0" xfId="1" quotePrefix="1" applyNumberFormat="1" applyFont="1" applyAlignment="1">
      <alignment horizontal="center" vertical="center"/>
    </xf>
    <xf numFmtId="0" fontId="3" fillId="0" borderId="0" xfId="2" quotePrefix="1" applyFont="1" applyAlignment="1">
      <alignment vertical="center"/>
    </xf>
    <xf numFmtId="0" fontId="3" fillId="0" borderId="0" xfId="2" applyFont="1" applyAlignment="1">
      <alignment horizontal="left"/>
    </xf>
    <xf numFmtId="0" fontId="3" fillId="0" borderId="0" xfId="2" applyFont="1"/>
    <xf numFmtId="0" fontId="3" fillId="0" borderId="0" xfId="2" quotePrefix="1" applyFont="1"/>
    <xf numFmtId="14" fontId="3" fillId="0" borderId="0" xfId="1" quotePrefix="1" applyNumberFormat="1" applyFont="1" applyAlignment="1">
      <alignment horizontal="right" vertical="top"/>
    </xf>
    <xf numFmtId="0" fontId="3" fillId="0" borderId="0" xfId="2" applyFont="1" applyAlignment="1">
      <alignment horizontal="center"/>
    </xf>
    <xf numFmtId="43" fontId="3" fillId="0" borderId="0" xfId="1" applyFont="1" applyFill="1" applyBorder="1" applyAlignment="1">
      <alignment vertical="center"/>
    </xf>
    <xf numFmtId="43" fontId="3" fillId="0" borderId="0" xfId="1" applyFont="1" applyFill="1" applyBorder="1" applyAlignment="1"/>
    <xf numFmtId="43" fontId="3" fillId="0" borderId="0" xfId="1" applyFont="1" applyFill="1" applyBorder="1" applyAlignment="1">
      <alignment horizontal="center"/>
    </xf>
    <xf numFmtId="9" fontId="3" fillId="0" borderId="0" xfId="1" applyNumberFormat="1" applyFont="1" applyFill="1" applyBorder="1" applyAlignment="1">
      <alignment horizontal="center"/>
    </xf>
    <xf numFmtId="0" fontId="3" fillId="0" borderId="0" xfId="2" applyFont="1" applyAlignment="1">
      <alignment shrinkToFit="1"/>
    </xf>
    <xf numFmtId="9" fontId="3" fillId="0" borderId="0" xfId="1" applyNumberFormat="1" applyFont="1" applyFill="1" applyBorder="1" applyAlignment="1">
      <alignment horizontal="right"/>
    </xf>
    <xf numFmtId="43" fontId="3" fillId="0" borderId="0" xfId="1" applyFont="1" applyFill="1" applyBorder="1" applyAlignment="1">
      <alignment horizontal="center" vertical="center"/>
    </xf>
    <xf numFmtId="0" fontId="3" fillId="0" borderId="0" xfId="2" applyFont="1" applyAlignment="1">
      <alignment vertical="center" shrinkToFit="1"/>
    </xf>
    <xf numFmtId="9" fontId="3" fillId="0" borderId="0" xfId="1" applyNumberFormat="1" applyFont="1" applyFill="1" applyBorder="1" applyAlignment="1">
      <alignment horizontal="right" vertical="center"/>
    </xf>
    <xf numFmtId="2" fontId="3" fillId="0" borderId="0" xfId="1" applyNumberFormat="1" applyFont="1" applyFill="1" applyBorder="1" applyAlignment="1">
      <alignment horizontal="center" vertical="center"/>
    </xf>
    <xf numFmtId="0" fontId="3" fillId="0" borderId="0" xfId="2" applyFont="1" applyAlignment="1">
      <alignment vertical="top" shrinkToFit="1"/>
    </xf>
    <xf numFmtId="43" fontId="3" fillId="0" borderId="0" xfId="1" applyFont="1"/>
    <xf numFmtId="4" fontId="4" fillId="0" borderId="0" xfId="0" applyNumberFormat="1" applyFont="1"/>
    <xf numFmtId="43" fontId="3" fillId="0" borderId="0" xfId="1" applyFont="1" applyFill="1" applyBorder="1" applyAlignment="1">
      <alignment horizontal="left"/>
    </xf>
    <xf numFmtId="0" fontId="3" fillId="0" borderId="0" xfId="2" applyFont="1" applyAlignment="1">
      <alignment horizontal="center" shrinkToFit="1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vertical="center" wrapText="1"/>
    </xf>
    <xf numFmtId="2" fontId="4" fillId="0" borderId="0" xfId="1" applyNumberFormat="1" applyFont="1" applyFill="1" applyBorder="1" applyAlignment="1">
      <alignment horizontal="right"/>
    </xf>
    <xf numFmtId="14" fontId="5" fillId="0" borderId="0" xfId="1" quotePrefix="1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2" fontId="4" fillId="0" borderId="0" xfId="0" applyNumberFormat="1" applyFont="1"/>
    <xf numFmtId="4" fontId="4" fillId="0" borderId="0" xfId="1" applyNumberFormat="1" applyFont="1" applyFill="1" applyAlignment="1">
      <alignment horizontal="right"/>
    </xf>
    <xf numFmtId="0" fontId="4" fillId="0" borderId="0" xfId="0" applyFont="1"/>
    <xf numFmtId="0" fontId="6" fillId="0" borderId="0" xfId="0" applyFont="1"/>
    <xf numFmtId="43" fontId="6" fillId="0" borderId="0" xfId="1" applyFont="1"/>
    <xf numFmtId="0" fontId="6" fillId="0" borderId="0" xfId="0" applyFont="1" applyAlignment="1">
      <alignment horizontal="center"/>
    </xf>
    <xf numFmtId="43" fontId="6" fillId="0" borderId="0" xfId="1" applyFont="1" applyAlignment="1">
      <alignment horizontal="center"/>
    </xf>
    <xf numFmtId="0" fontId="3" fillId="0" borderId="0" xfId="2" applyFont="1" applyAlignment="1">
      <alignment horizontal="center" shrinkToFit="1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vertical="center" wrapText="1"/>
    </xf>
  </cellXfs>
  <cellStyles count="3">
    <cellStyle name="Comma" xfId="1" builtinId="3"/>
    <cellStyle name="Normal" xfId="0" builtinId="0"/>
    <cellStyle name="ปกติ_Sheet1" xfId="2" xr:uid="{C5A34E46-3722-4D90-BBDC-D475650E8F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0A9D-38F6-4CD3-9374-0345F3215181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243832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10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250</v>
      </c>
      <c r="I14" s="44"/>
      <c r="J14" s="43">
        <v>120</v>
      </c>
      <c r="K14" s="19"/>
      <c r="L14" s="20">
        <f>J14*H14</f>
        <v>30000</v>
      </c>
    </row>
    <row r="15" spans="1:12" ht="21.75" customHeight="1" x14ac:dyDescent="0.45">
      <c r="A15" s="18"/>
      <c r="B15" s="20"/>
      <c r="C15" s="42" t="s">
        <v>8</v>
      </c>
      <c r="D15" s="20"/>
      <c r="E15" s="20"/>
      <c r="F15" s="20"/>
      <c r="G15" s="20"/>
      <c r="H15" s="43">
        <v>220</v>
      </c>
      <c r="I15" s="44"/>
      <c r="J15" s="43">
        <v>210</v>
      </c>
      <c r="K15" s="19"/>
      <c r="L15" s="20">
        <f t="shared" ref="L15" si="0">J15*H15</f>
        <v>46200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(แปดหมื่นหนึ่งพันห้าร้อยสามสิบสี่บาทถ้วน)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76200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5334.0000000000009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81534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A30:H30"/>
    <mergeCell ref="C1:I1"/>
    <mergeCell ref="C2:L2"/>
    <mergeCell ref="C3:I3"/>
    <mergeCell ref="C4:I4"/>
    <mergeCell ref="C5:H5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0A20-0474-4C3B-9F70-18CAB1D3834A}">
  <dimension ref="A1:L39"/>
  <sheetViews>
    <sheetView view="pageBreakPreview" zoomScale="70" zoomScaleNormal="100" zoomScaleSheetLayoutView="70" zoomScalePageLayoutView="55" workbookViewId="0">
      <selection activeCell="I24" sqref="I24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243833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11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200</v>
      </c>
      <c r="I14" s="44"/>
      <c r="J14" s="43">
        <v>120</v>
      </c>
      <c r="K14" s="19"/>
      <c r="L14" s="20">
        <f>J14*H14</f>
        <v>24000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150</v>
      </c>
      <c r="I15" s="44"/>
      <c r="J15" s="43">
        <v>270</v>
      </c>
      <c r="K15" s="19"/>
      <c r="L15" s="20">
        <f t="shared" ref="L15" si="0">J15*H15</f>
        <v>40500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(หกหมื่นเก้าพันสิบห้าบาทถ้วน)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64500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4515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69015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8457-F4A0-4E97-A8CA-848B61A11042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243835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12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150</v>
      </c>
      <c r="I14" s="44"/>
      <c r="J14" s="43">
        <v>120</v>
      </c>
      <c r="K14" s="19"/>
      <c r="L14" s="20">
        <f>J14*H14</f>
        <v>18000</v>
      </c>
    </row>
    <row r="15" spans="1:12" ht="21.75" customHeight="1" x14ac:dyDescent="0.45">
      <c r="A15" s="18"/>
      <c r="B15" s="20"/>
      <c r="C15" s="42" t="s">
        <v>8</v>
      </c>
      <c r="D15" s="20"/>
      <c r="E15" s="20"/>
      <c r="F15" s="20"/>
      <c r="G15" s="20"/>
      <c r="H15" s="43">
        <v>150</v>
      </c>
      <c r="I15" s="44"/>
      <c r="J15" s="43">
        <v>210</v>
      </c>
      <c r="K15" s="19"/>
      <c r="L15" s="20">
        <f t="shared" ref="L15:L16" si="0">J15*H15</f>
        <v>31500</v>
      </c>
    </row>
    <row r="16" spans="1:12" ht="21.75" customHeight="1" x14ac:dyDescent="0.45">
      <c r="A16" s="18"/>
      <c r="B16" s="20"/>
      <c r="C16" s="42" t="s">
        <v>7</v>
      </c>
      <c r="D16" s="20"/>
      <c r="E16" s="20"/>
      <c r="F16" s="20"/>
      <c r="G16" s="20"/>
      <c r="H16" s="43">
        <v>300</v>
      </c>
      <c r="I16" s="45"/>
      <c r="J16" s="43">
        <v>25</v>
      </c>
      <c r="K16" s="19"/>
      <c r="L16" s="20">
        <f t="shared" si="0"/>
        <v>7500</v>
      </c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(หกหมื่นเก้าร้อยเก้าสิบบาทถ้วน)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57000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3990.0000000000005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60990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92FE-407A-46A5-ADF4-AE806E0B6626}">
  <dimension ref="A1:L39"/>
  <sheetViews>
    <sheetView view="pageBreakPreview" zoomScale="70" zoomScaleNormal="100" zoomScaleSheetLayoutView="70" zoomScalePageLayoutView="55" workbookViewId="0">
      <selection activeCell="G20" sqref="G20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243833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13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460</v>
      </c>
      <c r="I14" s="44"/>
      <c r="J14" s="43">
        <v>120</v>
      </c>
      <c r="K14" s="19"/>
      <c r="L14" s="20">
        <f>J14*H14</f>
        <v>55200</v>
      </c>
    </row>
    <row r="15" spans="1:12" ht="21.75" customHeight="1" x14ac:dyDescent="0.45">
      <c r="A15" s="18"/>
      <c r="B15" s="20"/>
      <c r="C15" s="39"/>
      <c r="D15" s="20"/>
      <c r="E15" s="20"/>
      <c r="F15" s="20"/>
      <c r="G15" s="20"/>
      <c r="H15" s="40"/>
      <c r="I15" s="41"/>
      <c r="J15" s="31"/>
      <c r="K15" s="19"/>
      <c r="L15" s="20"/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(ห้าหมื่นเก้าพันหกสิบสี่บาทถ้วน)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55200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3864.0000000000005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59064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DD0A-51D2-4819-95B3-CE166A5E1048}">
  <dimension ref="A1:L39"/>
  <sheetViews>
    <sheetView view="pageBreakPreview" zoomScale="70" zoomScaleNormal="100" zoomScaleSheetLayoutView="70" zoomScalePageLayoutView="55" workbookViewId="0">
      <selection activeCell="I18" sqref="I18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243836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14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500</v>
      </c>
      <c r="I14" s="44"/>
      <c r="J14" s="43">
        <v>120</v>
      </c>
      <c r="K14" s="19"/>
      <c r="L14" s="20">
        <f>J14*H14</f>
        <v>60000</v>
      </c>
    </row>
    <row r="15" spans="1:12" ht="21.75" customHeight="1" x14ac:dyDescent="0.45">
      <c r="A15" s="18"/>
      <c r="B15" s="20"/>
      <c r="C15" s="39"/>
      <c r="D15" s="20"/>
      <c r="E15" s="20"/>
      <c r="F15" s="20"/>
      <c r="G15" s="20"/>
      <c r="H15" s="40"/>
      <c r="I15" s="41"/>
      <c r="J15" s="31"/>
      <c r="K15" s="19"/>
      <c r="L15" s="20"/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(หกหมื่นสี่พันสองร้อยบาทถ้วน)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60000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4200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64200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1737-75BF-445C-89E8-AB4C6A468BE0}">
  <dimension ref="A1:L39"/>
  <sheetViews>
    <sheetView view="pageBreakPreview" zoomScale="70" zoomScaleNormal="100" zoomScaleSheetLayoutView="70" zoomScalePageLayoutView="55" workbookViewId="0">
      <selection activeCell="J24" sqref="J24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243835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15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100</v>
      </c>
      <c r="I14" s="44"/>
      <c r="J14" s="43">
        <v>120</v>
      </c>
      <c r="K14" s="19"/>
      <c r="L14" s="20">
        <f>J14*H14</f>
        <v>12000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120</v>
      </c>
      <c r="I15" s="44"/>
      <c r="J15" s="43">
        <v>270</v>
      </c>
      <c r="K15" s="19"/>
      <c r="L15" s="20">
        <f t="shared" ref="L15" si="0">J15*H15</f>
        <v>32400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(สี่หมื่นเจ็ดพันห้าร้อยแปดบาทถ้วน)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44400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3108.0000000000005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47508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CAE5-F00E-43D4-807D-72228CEEA9F9}">
  <dimension ref="A1:L39"/>
  <sheetViews>
    <sheetView view="pageBreakPreview" zoomScale="70" zoomScaleNormal="100" zoomScaleSheetLayoutView="70" zoomScalePageLayoutView="55" workbookViewId="0">
      <selection activeCell="J20" sqref="J20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243835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16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100</v>
      </c>
      <c r="I14" s="44"/>
      <c r="J14" s="43">
        <v>120</v>
      </c>
      <c r="K14" s="19"/>
      <c r="L14" s="20">
        <f>J14*H14</f>
        <v>12000</v>
      </c>
    </row>
    <row r="15" spans="1:12" ht="21.75" customHeight="1" x14ac:dyDescent="0.45">
      <c r="A15" s="18"/>
      <c r="B15" s="20"/>
      <c r="C15" s="42" t="s">
        <v>8</v>
      </c>
      <c r="D15" s="20"/>
      <c r="E15" s="20"/>
      <c r="F15" s="20"/>
      <c r="G15" s="20"/>
      <c r="H15" s="43">
        <v>120</v>
      </c>
      <c r="I15" s="44"/>
      <c r="J15" s="43">
        <v>210</v>
      </c>
      <c r="K15" s="19"/>
      <c r="L15" s="20">
        <f t="shared" ref="L15:L16" si="0">J15*H15</f>
        <v>25200</v>
      </c>
    </row>
    <row r="16" spans="1:12" ht="21.75" customHeight="1" x14ac:dyDescent="0.45">
      <c r="A16" s="18"/>
      <c r="B16" s="20"/>
      <c r="C16" s="42" t="s">
        <v>7</v>
      </c>
      <c r="D16" s="20"/>
      <c r="E16" s="20"/>
      <c r="F16" s="20"/>
      <c r="G16" s="20"/>
      <c r="H16" s="43">
        <v>100</v>
      </c>
      <c r="I16" s="45"/>
      <c r="J16" s="43">
        <v>25</v>
      </c>
      <c r="K16" s="19"/>
      <c r="L16" s="20">
        <f t="shared" si="0"/>
        <v>2500</v>
      </c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(สี่หมื่นสองพันสี่ร้อยเจ็ดสิบเก้าบาทถ้วน)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39700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2779.0000000000005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42479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963E-B53B-4F2C-A537-9458DB0901C6}">
  <dimension ref="A1:L39"/>
  <sheetViews>
    <sheetView view="pageBreakPreview" zoomScale="70" zoomScaleNormal="100" zoomScaleSheetLayoutView="70" zoomScalePageLayoutView="55" workbookViewId="0">
      <selection activeCell="I21" sqref="I21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243836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17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150</v>
      </c>
      <c r="I14" s="44"/>
      <c r="J14" s="43">
        <v>120</v>
      </c>
      <c r="K14" s="19"/>
      <c r="L14" s="20">
        <f>J14*H14</f>
        <v>18000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120</v>
      </c>
      <c r="I15" s="44"/>
      <c r="J15" s="43">
        <v>270</v>
      </c>
      <c r="K15" s="19"/>
      <c r="L15" s="20">
        <f t="shared" ref="L15" si="0">J15*H15</f>
        <v>32400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(ห้าหมื่นสามพันเก้าร้อยยี่สิบแปดบาทถ้วน)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50400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3528.0000000000005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53928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CC78-F097-4C45-AC7A-CD167D0E3D57}">
  <dimension ref="A1:L39"/>
  <sheetViews>
    <sheetView view="pageBreakPreview" zoomScale="70" zoomScaleNormal="100" zoomScaleSheetLayoutView="70" zoomScalePageLayoutView="55" workbookViewId="0">
      <selection activeCell="J9" sqref="J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243837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18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9</v>
      </c>
      <c r="D14" s="20"/>
      <c r="E14" s="20"/>
      <c r="F14" s="20"/>
      <c r="G14" s="20"/>
      <c r="H14" s="43">
        <v>150</v>
      </c>
      <c r="I14" s="44"/>
      <c r="J14" s="43">
        <v>270</v>
      </c>
      <c r="K14" s="19"/>
      <c r="L14" s="20">
        <f>J14*H14</f>
        <v>40500</v>
      </c>
    </row>
    <row r="15" spans="1:12" ht="21.75" customHeight="1" x14ac:dyDescent="0.45">
      <c r="A15" s="18"/>
      <c r="B15" s="20"/>
      <c r="C15" s="42" t="s">
        <v>6</v>
      </c>
      <c r="D15" s="20"/>
      <c r="E15" s="20"/>
      <c r="F15" s="20"/>
      <c r="G15" s="20"/>
      <c r="H15" s="43">
        <v>100</v>
      </c>
      <c r="I15" s="44"/>
      <c r="J15" s="43">
        <v>120</v>
      </c>
      <c r="K15" s="19"/>
      <c r="L15" s="20">
        <f t="shared" ref="L15" si="0">J15*H15</f>
        <v>12000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(ห้าหมื่นหกพันหนึ่งร้อยเจ็ดสิบห้าบาทถ้วน)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52500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3675.0000000000005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56175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C28B-E851-49E7-993E-D8EAE3E9825D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243837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19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150</v>
      </c>
      <c r="I14" s="44"/>
      <c r="J14" s="43">
        <v>120</v>
      </c>
      <c r="K14" s="19"/>
      <c r="L14" s="20">
        <f>J14*H14</f>
        <v>18000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120</v>
      </c>
      <c r="I15" s="44"/>
      <c r="J15" s="43">
        <v>270</v>
      </c>
      <c r="K15" s="19"/>
      <c r="L15" s="20">
        <f t="shared" ref="L15" si="0">J15*H15</f>
        <v>32400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(ห้าหมื่นสามพันเก้าร้อยยี่สิบแปดบาทถ้วน)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50400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3528.0000000000005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53928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0287-F219-4354-A71E-E1FED42B11DC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243837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20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100</v>
      </c>
      <c r="I14" s="44"/>
      <c r="J14" s="43">
        <v>120</v>
      </c>
      <c r="K14" s="19"/>
      <c r="L14" s="20">
        <f>J14*H14</f>
        <v>12000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200</v>
      </c>
      <c r="I15" s="44"/>
      <c r="J15" s="43">
        <v>270</v>
      </c>
      <c r="K15" s="19"/>
      <c r="L15" s="20">
        <f t="shared" ref="L15" si="0">J15*H15</f>
        <v>54000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(เจ็ดหมื่นหกร้อยยี่สิบบาทถ้วน)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66000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4620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70620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D3F5-C683-4C9E-9DE6-BD15CF91FB5E}">
  <dimension ref="A1:L39"/>
  <sheetViews>
    <sheetView view="pageBreakPreview" zoomScale="70" zoomScaleNormal="100" zoomScaleSheetLayoutView="70" zoomScalePageLayoutView="55" workbookViewId="0">
      <selection activeCell="J9" sqref="J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243838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21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150</v>
      </c>
      <c r="I14" s="44"/>
      <c r="J14" s="43">
        <v>120</v>
      </c>
      <c r="K14" s="19"/>
      <c r="L14" s="20">
        <f>J14*H14</f>
        <v>18000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180</v>
      </c>
      <c r="I15" s="44"/>
      <c r="J15" s="43">
        <v>270</v>
      </c>
      <c r="K15" s="19"/>
      <c r="L15" s="20">
        <f>J15*H15</f>
        <v>48600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(เจ็ดหมื่นหนึ่งพันสองร้อยหกสิบสองบาทถ้วน)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66600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4662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71262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1E64-1BA1-47DD-B436-ADC800585B85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243838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22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100</v>
      </c>
      <c r="I14" s="44"/>
      <c r="J14" s="43">
        <v>120</v>
      </c>
      <c r="K14" s="19"/>
      <c r="L14" s="20">
        <f>J14*H14</f>
        <v>12000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150</v>
      </c>
      <c r="I15" s="44"/>
      <c r="J15" s="43">
        <v>270</v>
      </c>
      <c r="K15" s="19"/>
      <c r="L15" s="20">
        <f t="shared" ref="L15:L16" si="0">J15*H15</f>
        <v>40500</v>
      </c>
    </row>
    <row r="16" spans="1:12" ht="21.75" customHeight="1" x14ac:dyDescent="0.45">
      <c r="A16" s="18"/>
      <c r="B16" s="20"/>
      <c r="C16" s="42" t="s">
        <v>8</v>
      </c>
      <c r="D16" s="20"/>
      <c r="E16" s="20"/>
      <c r="F16" s="20"/>
      <c r="G16" s="20"/>
      <c r="H16" s="43">
        <v>100</v>
      </c>
      <c r="I16" s="45"/>
      <c r="J16" s="43">
        <v>210</v>
      </c>
      <c r="K16" s="19"/>
      <c r="L16" s="20">
        <f t="shared" si="0"/>
        <v>21000</v>
      </c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(เจ็ดหมื่นแปดพันหกร้อยสี่สิบห้าบาทถ้วน)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73500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5145.0000000000009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78645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E521-5133-4D81-9DE1-25328944458E}">
  <dimension ref="A1:L39"/>
  <sheetViews>
    <sheetView view="pageBreakPreview" zoomScale="70" zoomScaleNormal="100" zoomScaleSheetLayoutView="70" zoomScalePageLayoutView="55" workbookViewId="0">
      <selection activeCell="J22" sqref="J22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243839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23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200</v>
      </c>
      <c r="I14" s="44"/>
      <c r="J14" s="43">
        <v>120</v>
      </c>
      <c r="K14" s="19"/>
      <c r="L14" s="20">
        <f>J14*H14</f>
        <v>24000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200</v>
      </c>
      <c r="I15" s="44"/>
      <c r="J15" s="43">
        <v>270</v>
      </c>
      <c r="K15" s="19"/>
      <c r="L15" s="20">
        <f>J15*H15</f>
        <v>54000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(แปดหมื่นสามพันสี่ร้อยหกสิบบาทถ้วน)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78000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5460.0000000000009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83460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7F90-DC0C-4FD5-A3D9-89F15AE697B7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243839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24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200</v>
      </c>
      <c r="I14" s="44"/>
      <c r="J14" s="43">
        <v>120</v>
      </c>
      <c r="K14" s="19"/>
      <c r="L14" s="20">
        <f>J14*H14</f>
        <v>24000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100</v>
      </c>
      <c r="I15" s="44"/>
      <c r="J15" s="43">
        <v>270</v>
      </c>
      <c r="K15" s="19"/>
      <c r="L15" s="20">
        <f>J15*H15</f>
        <v>27000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(ห้าหมื่นสี่พันห้าร้อยเจ็ดสิบบาทถ้วน)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51000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3570.0000000000005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54570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95CE-30D1-42A9-9448-6429A94E83A3}">
  <dimension ref="A1:L39"/>
  <sheetViews>
    <sheetView view="pageBreakPreview" zoomScale="70" zoomScaleNormal="100" zoomScaleSheetLayoutView="70" zoomScalePageLayoutView="55" workbookViewId="0">
      <selection activeCell="J9" sqref="J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243840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25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200</v>
      </c>
      <c r="I14" s="44"/>
      <c r="J14" s="43">
        <v>120</v>
      </c>
      <c r="K14" s="19"/>
      <c r="L14" s="20">
        <f>J14*H14</f>
        <v>24000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150</v>
      </c>
      <c r="I15" s="44"/>
      <c r="J15" s="43">
        <v>270</v>
      </c>
      <c r="K15" s="19"/>
      <c r="L15" s="20">
        <f>J15*H15</f>
        <v>40500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(หกหมื่นเก้าพันสิบห้าบาทถ้วน)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64500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4515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69015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76BE-4707-4380-8561-5B8AB78D4309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243840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26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150</v>
      </c>
      <c r="I14" s="44"/>
      <c r="J14" s="43">
        <v>120</v>
      </c>
      <c r="K14" s="19"/>
      <c r="L14" s="20">
        <f>J14*H14</f>
        <v>18000</v>
      </c>
    </row>
    <row r="15" spans="1:12" ht="21.75" customHeight="1" x14ac:dyDescent="0.45">
      <c r="A15" s="18"/>
      <c r="B15" s="20"/>
      <c r="C15" s="42" t="s">
        <v>8</v>
      </c>
      <c r="D15" s="20"/>
      <c r="E15" s="20"/>
      <c r="F15" s="20"/>
      <c r="G15" s="20"/>
      <c r="H15" s="43">
        <v>200</v>
      </c>
      <c r="I15" s="44"/>
      <c r="J15" s="43">
        <v>210</v>
      </c>
      <c r="K15" s="19"/>
      <c r="L15" s="20">
        <f t="shared" ref="L15" si="0">J15*H15</f>
        <v>42000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(หกหมื่นสี่พันสองร้อยบาทถ้วน)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60000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4200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64200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A40C-B118-41E4-92BA-2179DA11A32E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243840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27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200</v>
      </c>
      <c r="I14" s="44"/>
      <c r="J14" s="43">
        <v>120</v>
      </c>
      <c r="K14" s="19"/>
      <c r="L14" s="20">
        <f>J14*H14</f>
        <v>24000</v>
      </c>
    </row>
    <row r="15" spans="1:12" ht="21.75" customHeight="1" x14ac:dyDescent="0.45">
      <c r="A15" s="18"/>
      <c r="B15" s="20"/>
      <c r="C15" s="42" t="s">
        <v>8</v>
      </c>
      <c r="D15" s="20"/>
      <c r="E15" s="20"/>
      <c r="F15" s="20"/>
      <c r="G15" s="20"/>
      <c r="H15" s="43">
        <v>230</v>
      </c>
      <c r="I15" s="44"/>
      <c r="J15" s="43">
        <v>210</v>
      </c>
      <c r="K15" s="19"/>
      <c r="L15" s="20">
        <f t="shared" ref="L15" si="0">J15*H15</f>
        <v>48300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(เจ็ดหมื่นเจ็ดพันสามร้อยหกสิบเอ็ดบาทถ้วน)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72300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5061.0000000000009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77361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D16A-F688-429A-B07F-9B7E78C7DB80}">
  <dimension ref="A1:L39"/>
  <sheetViews>
    <sheetView view="pageBreakPreview" zoomScale="70" zoomScaleNormal="100" zoomScaleSheetLayoutView="70" zoomScalePageLayoutView="55" workbookViewId="0">
      <selection activeCell="J9" sqref="J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243843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28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150</v>
      </c>
      <c r="I14" s="44"/>
      <c r="J14" s="43">
        <v>120</v>
      </c>
      <c r="K14" s="19"/>
      <c r="L14" s="20">
        <f>J14*H14</f>
        <v>18000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100</v>
      </c>
      <c r="I15" s="44"/>
      <c r="J15" s="43">
        <v>270</v>
      </c>
      <c r="K15" s="19"/>
      <c r="L15" s="20">
        <f t="shared" ref="L15" si="0">J15*H15</f>
        <v>27000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(สี่หมื่นแปดพันหนึ่งร้อยห้าสิบบาทถ้วน)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45000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3150.0000000000005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48150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0C4F-0E2C-4816-A93E-3F8E0F0B34BA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243843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29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200</v>
      </c>
      <c r="I14" s="44"/>
      <c r="J14" s="43">
        <v>120</v>
      </c>
      <c r="K14" s="19"/>
      <c r="L14" s="20">
        <f>J14*H14</f>
        <v>24000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100</v>
      </c>
      <c r="I15" s="44"/>
      <c r="J15" s="43">
        <v>270</v>
      </c>
      <c r="K15" s="19"/>
      <c r="L15" s="20">
        <f t="shared" ref="L15" si="0">J15*H15</f>
        <v>27000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(ห้าหมื่นสี่พันห้าร้อยเจ็ดสิบบาทถ้วน)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51000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3570.0000000000005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54570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F11A-8A54-4D48-A0EE-83C0E7A696A8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243843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30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150</v>
      </c>
      <c r="I14" s="44"/>
      <c r="J14" s="43">
        <v>120</v>
      </c>
      <c r="K14" s="19"/>
      <c r="L14" s="20">
        <f>J14*H14</f>
        <v>18000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100</v>
      </c>
      <c r="I15" s="44"/>
      <c r="J15" s="43">
        <v>270</v>
      </c>
      <c r="K15" s="19"/>
      <c r="L15" s="20">
        <f t="shared" ref="L15:L16" si="0">J15*H15</f>
        <v>27000</v>
      </c>
    </row>
    <row r="16" spans="1:12" ht="21.75" customHeight="1" x14ac:dyDescent="0.45">
      <c r="A16" s="18"/>
      <c r="B16" s="20"/>
      <c r="C16" s="42" t="s">
        <v>8</v>
      </c>
      <c r="D16" s="20"/>
      <c r="E16" s="20"/>
      <c r="F16" s="20"/>
      <c r="G16" s="20"/>
      <c r="H16" s="43">
        <v>50</v>
      </c>
      <c r="I16" s="45"/>
      <c r="J16" s="43">
        <v>210</v>
      </c>
      <c r="K16" s="19"/>
      <c r="L16" s="20">
        <f t="shared" si="0"/>
        <v>10500</v>
      </c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(ห้าหมื่นเก้าพันสามร้อยแปดสิบห้าบาทถ้วน)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55500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3885.0000000000005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59385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875E-A163-4FCF-B12F-2F757347211B}">
  <dimension ref="A1:L39"/>
  <sheetViews>
    <sheetView view="pageBreakPreview" zoomScale="70" zoomScaleNormal="100" zoomScaleSheetLayoutView="70" zoomScalePageLayoutView="55" workbookViewId="0">
      <selection activeCell="J9" sqref="J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243844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31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150</v>
      </c>
      <c r="I14" s="44"/>
      <c r="J14" s="43">
        <v>120</v>
      </c>
      <c r="K14" s="19"/>
      <c r="L14" s="20">
        <f>J14*H14</f>
        <v>18000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200</v>
      </c>
      <c r="I15" s="44"/>
      <c r="J15" s="43">
        <v>270</v>
      </c>
      <c r="K15" s="19"/>
      <c r="L15" s="20">
        <f t="shared" ref="L15" si="0">J15*H15</f>
        <v>54000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(เจ็ดหมื่นเจ็ดพันสี่สิบบาทถ้วน)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72000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5040.0000000000009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77040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8719-B6DC-4CCA-8CB7-1BB1E197F11E}">
  <dimension ref="A1:L39"/>
  <sheetViews>
    <sheetView view="pageBreakPreview" zoomScale="70" zoomScaleNormal="100" zoomScaleSheetLayoutView="70" zoomScalePageLayoutView="55" workbookViewId="0">
      <selection activeCell="I20" sqref="I20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243844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32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9</v>
      </c>
      <c r="D14" s="20"/>
      <c r="E14" s="20"/>
      <c r="F14" s="20"/>
      <c r="G14" s="20"/>
      <c r="H14" s="43">
        <v>50</v>
      </c>
      <c r="I14" s="44"/>
      <c r="J14" s="43">
        <v>270</v>
      </c>
      <c r="K14" s="19"/>
      <c r="L14" s="20">
        <f>J14*H14</f>
        <v>13500</v>
      </c>
    </row>
    <row r="15" spans="1:12" ht="21.75" customHeight="1" x14ac:dyDescent="0.45">
      <c r="A15" s="18"/>
      <c r="B15" s="20"/>
      <c r="C15" s="42" t="s">
        <v>6</v>
      </c>
      <c r="D15" s="20"/>
      <c r="E15" s="20"/>
      <c r="F15" s="20"/>
      <c r="G15" s="20"/>
      <c r="H15" s="43">
        <v>150</v>
      </c>
      <c r="I15" s="44"/>
      <c r="J15" s="43">
        <v>120</v>
      </c>
      <c r="K15" s="19"/>
      <c r="L15" s="20">
        <f t="shared" ref="L15" si="0">J15*H15</f>
        <v>18000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(สามหมื่นสามพันเจ็ดร้อยห้าบาทถ้วน)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31500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2205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33705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569E-2918-42C3-97BD-C17C54C90CAC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243844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33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100</v>
      </c>
      <c r="I14" s="44"/>
      <c r="J14" s="43">
        <v>120</v>
      </c>
      <c r="K14" s="19"/>
      <c r="L14" s="20">
        <f>J14*H14</f>
        <v>12000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200</v>
      </c>
      <c r="I15" s="44"/>
      <c r="J15" s="43">
        <v>270</v>
      </c>
      <c r="K15" s="19"/>
      <c r="L15" s="20">
        <f t="shared" ref="L15" si="0">J15*H15</f>
        <v>54000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(เจ็ดหมื่นหกร้อยยี่สิบบาทถ้วน)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66000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4620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70620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FD78-1ED7-4A2B-9AD3-66A1EF0A57B9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243844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34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120</v>
      </c>
      <c r="I14" s="44"/>
      <c r="J14" s="43">
        <v>120</v>
      </c>
      <c r="K14" s="19"/>
      <c r="L14" s="20">
        <f>J14*H14</f>
        <v>14400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120</v>
      </c>
      <c r="I15" s="44"/>
      <c r="J15" s="43">
        <v>270</v>
      </c>
      <c r="K15" s="19"/>
      <c r="L15" s="20">
        <f t="shared" ref="L15" si="0">J15*H15</f>
        <v>32400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(ห้าหมื่นเจ็ดสิบหกบาทถ้วน)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46800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3276.0000000000005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50076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2565-7E13-4C89-831D-A87D71B4AFB2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243845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35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8</v>
      </c>
      <c r="D14" s="20"/>
      <c r="E14" s="20"/>
      <c r="F14" s="20"/>
      <c r="G14" s="20"/>
      <c r="H14" s="43">
        <v>100</v>
      </c>
      <c r="I14" s="44"/>
      <c r="J14" s="43">
        <v>210</v>
      </c>
      <c r="K14" s="19"/>
      <c r="L14" s="20">
        <f>J14*H14</f>
        <v>21000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100</v>
      </c>
      <c r="I15" s="44"/>
      <c r="J15" s="43">
        <v>270</v>
      </c>
      <c r="K15" s="19"/>
      <c r="L15" s="20">
        <f>J15*H15</f>
        <v>27000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(ห้าหมื่นหนึ่งพันสามร้อยหกสิบบาทถ้วน)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48000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3360.0000000000005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51360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BC19-65B0-40EA-9415-DF62561842A0}">
  <dimension ref="A1:L39"/>
  <sheetViews>
    <sheetView view="pageBreakPreview" zoomScale="70" zoomScaleNormal="100" zoomScaleSheetLayoutView="70" zoomScalePageLayoutView="55" workbookViewId="0">
      <selection activeCell="J9" sqref="J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243845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36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200</v>
      </c>
      <c r="I14" s="44"/>
      <c r="J14" s="43">
        <v>120</v>
      </c>
      <c r="K14" s="19"/>
      <c r="L14" s="20">
        <f>J14*H14</f>
        <v>24000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130</v>
      </c>
      <c r="I15" s="44"/>
      <c r="J15" s="43">
        <v>270</v>
      </c>
      <c r="K15" s="19"/>
      <c r="L15" s="20">
        <f>J15*H15</f>
        <v>35100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(หกหมื่นสามพันสองร้อยสามสิบเจ็ดบาทถ้วน)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59100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4137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63237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DFB1-FF9D-4457-A8A9-453085D173A5}">
  <dimension ref="A1:L39"/>
  <sheetViews>
    <sheetView view="pageBreakPreview" zoomScale="70" zoomScaleNormal="100" zoomScaleSheetLayoutView="70" zoomScalePageLayoutView="55" workbookViewId="0">
      <selection activeCell="K10" sqref="K10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243846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37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200</v>
      </c>
      <c r="I14" s="44"/>
      <c r="J14" s="43">
        <v>120</v>
      </c>
      <c r="K14" s="19"/>
      <c r="L14" s="20">
        <f>J14*H14</f>
        <v>24000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150</v>
      </c>
      <c r="I15" s="44"/>
      <c r="J15" s="43">
        <v>270</v>
      </c>
      <c r="K15" s="19"/>
      <c r="L15" s="20">
        <f>J15*H15</f>
        <v>40500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(หกหมื่นเก้าพันสิบห้าบาทถ้วน)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64500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4515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69015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6BDE-BF0F-4073-8F38-CBC337487FAB}">
  <dimension ref="A1:L39"/>
  <sheetViews>
    <sheetView view="pageBreakPreview" zoomScale="70" zoomScaleNormal="100" zoomScaleSheetLayoutView="70" zoomScalePageLayoutView="55" workbookViewId="0">
      <selection activeCell="J9" sqref="J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243849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39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90</v>
      </c>
      <c r="I14" s="44"/>
      <c r="J14" s="43">
        <v>120</v>
      </c>
      <c r="K14" s="19"/>
      <c r="L14" s="20">
        <f>J14*H14</f>
        <v>10800</v>
      </c>
    </row>
    <row r="15" spans="1:12" ht="21.75" customHeight="1" x14ac:dyDescent="0.45">
      <c r="A15" s="18"/>
      <c r="B15" s="20"/>
      <c r="C15" s="42" t="s">
        <v>8</v>
      </c>
      <c r="D15" s="20"/>
      <c r="E15" s="20"/>
      <c r="F15" s="20"/>
      <c r="G15" s="20"/>
      <c r="H15" s="43">
        <v>150</v>
      </c>
      <c r="I15" s="44"/>
      <c r="J15" s="43">
        <v>210</v>
      </c>
      <c r="K15" s="19"/>
      <c r="L15" s="20">
        <f>J15*H15</f>
        <v>31500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(สี่หมื่นห้าพันสองร้อยหกสิบเอ็ดบาทถ้วน)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42300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2961.0000000000005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45261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7573-2EEB-432F-8B3C-B1713BCF8041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243846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38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140</v>
      </c>
      <c r="I14" s="44"/>
      <c r="J14" s="43">
        <v>120</v>
      </c>
      <c r="K14" s="19"/>
      <c r="L14" s="20">
        <f>J14*H14</f>
        <v>16800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140</v>
      </c>
      <c r="I15" s="44"/>
      <c r="J15" s="43">
        <v>270</v>
      </c>
      <c r="K15" s="19"/>
      <c r="L15" s="20">
        <f>J15*H15</f>
        <v>37800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(ห้าหมื่นแปดพันสี่ร้อยยี่สิบสองบาทถ้วน)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54600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3822.0000000000005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58422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EE7D-A82B-4E4D-A0E2-761488319D0F}">
  <dimension ref="A1:L39"/>
  <sheetViews>
    <sheetView view="pageBreakPreview" zoomScale="70" zoomScaleNormal="100" zoomScaleSheetLayoutView="70" zoomScalePageLayoutView="55" workbookViewId="0">
      <selection activeCell="J9" sqref="J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243849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40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9</v>
      </c>
      <c r="D14" s="20"/>
      <c r="E14" s="20"/>
      <c r="F14" s="20"/>
      <c r="G14" s="20"/>
      <c r="H14" s="43">
        <v>120</v>
      </c>
      <c r="I14" s="44"/>
      <c r="J14" s="43">
        <v>270</v>
      </c>
      <c r="K14" s="19"/>
      <c r="L14" s="20">
        <f>J14*H14</f>
        <v>32400</v>
      </c>
    </row>
    <row r="15" spans="1:12" ht="21.75" customHeight="1" x14ac:dyDescent="0.45">
      <c r="A15" s="18"/>
      <c r="B15" s="20"/>
      <c r="C15" s="42" t="s">
        <v>6</v>
      </c>
      <c r="D15" s="20"/>
      <c r="E15" s="20"/>
      <c r="F15" s="20"/>
      <c r="G15" s="20"/>
      <c r="H15" s="43">
        <v>120</v>
      </c>
      <c r="I15" s="44"/>
      <c r="J15" s="43">
        <v>120</v>
      </c>
      <c r="K15" s="19"/>
      <c r="L15" s="20">
        <f t="shared" ref="L15" si="0">J15*H15</f>
        <v>14400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(ห้าหมื่นเจ็ดสิบหกบาทถ้วน)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46800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3276.0000000000005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50076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A838-0CDB-4DE9-B808-A8A3C346E616}">
  <dimension ref="A1:L39"/>
  <sheetViews>
    <sheetView view="pageBreakPreview" zoomScale="70" zoomScaleNormal="100" zoomScaleSheetLayoutView="70" zoomScalePageLayoutView="55" workbookViewId="0">
      <selection activeCell="J11" sqref="J11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243849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41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200</v>
      </c>
      <c r="I14" s="44"/>
      <c r="J14" s="43">
        <v>120</v>
      </c>
      <c r="K14" s="19"/>
      <c r="L14" s="20">
        <f>J14*H14</f>
        <v>24000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150</v>
      </c>
      <c r="I15" s="44"/>
      <c r="J15" s="43">
        <v>270</v>
      </c>
      <c r="K15" s="19"/>
      <c r="L15" s="20">
        <f t="shared" ref="L15" si="0">J15*H15</f>
        <v>40500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(หกหมื่นเก้าพันสิบห้าบาทถ้วน)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64500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4515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69015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C44A-6382-490F-B7B0-7462DE9FFFD7}">
  <dimension ref="A1:L39"/>
  <sheetViews>
    <sheetView view="pageBreakPreview" zoomScale="70" zoomScaleNormal="100" zoomScaleSheetLayoutView="70" zoomScalePageLayoutView="55" workbookViewId="0">
      <selection activeCell="J9" sqref="J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243850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42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100</v>
      </c>
      <c r="I14" s="44"/>
      <c r="J14" s="43">
        <v>120</v>
      </c>
      <c r="K14" s="19"/>
      <c r="L14" s="20">
        <f>J14*H14</f>
        <v>12000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130</v>
      </c>
      <c r="I15" s="44"/>
      <c r="J15" s="43">
        <v>270</v>
      </c>
      <c r="K15" s="19"/>
      <c r="L15" s="20">
        <f t="shared" ref="L15" si="0">J15*H15</f>
        <v>35100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(ห้าหมื่นสามร้อยเก้าสิบเจ็ดบาทถ้วน)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47100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3297.0000000000005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50397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8480-0137-4AA7-A4EE-47A294DAAEFE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243850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43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150</v>
      </c>
      <c r="I14" s="44"/>
      <c r="J14" s="43">
        <v>120</v>
      </c>
      <c r="K14" s="19"/>
      <c r="L14" s="20">
        <f>J14*H14</f>
        <v>18000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150</v>
      </c>
      <c r="I15" s="44"/>
      <c r="J15" s="43">
        <v>270</v>
      </c>
      <c r="K15" s="19"/>
      <c r="L15" s="20">
        <f t="shared" ref="L15" si="0">J15*H15</f>
        <v>40500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(หกหมื่นสองพันห้าร้อยเก้าสิบห้าบาทถ้วน)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58500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4095.0000000000005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62595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048D-51C7-415D-9679-82FEED7B3D25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243850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44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80</v>
      </c>
      <c r="I14" s="44"/>
      <c r="J14" s="43">
        <v>120</v>
      </c>
      <c r="K14" s="19"/>
      <c r="L14" s="20">
        <f>J14*H14</f>
        <v>9600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100</v>
      </c>
      <c r="I15" s="44"/>
      <c r="J15" s="43">
        <v>270</v>
      </c>
      <c r="K15" s="19"/>
      <c r="L15" s="20">
        <f t="shared" ref="L15:L16" si="0">J15*H15</f>
        <v>27000</v>
      </c>
    </row>
    <row r="16" spans="1:12" ht="21.75" customHeight="1" x14ac:dyDescent="0.45">
      <c r="A16" s="18"/>
      <c r="B16" s="20"/>
      <c r="C16" s="42" t="s">
        <v>8</v>
      </c>
      <c r="D16" s="20"/>
      <c r="E16" s="20"/>
      <c r="F16" s="20"/>
      <c r="G16" s="20"/>
      <c r="H16" s="43">
        <v>100</v>
      </c>
      <c r="I16" s="45"/>
      <c r="J16" s="43">
        <v>210</v>
      </c>
      <c r="K16" s="19"/>
      <c r="L16" s="20">
        <f t="shared" si="0"/>
        <v>21000</v>
      </c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(หกหมื่นหนึ่งพันหกร้อยสามสิบสองบาทถ้วน)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57600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4032.0000000000005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61632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322F-D9F7-444F-AA0B-8F1663834057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243851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45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9</v>
      </c>
      <c r="D14" s="20"/>
      <c r="E14" s="20"/>
      <c r="F14" s="20"/>
      <c r="G14" s="20"/>
      <c r="H14" s="43">
        <v>150</v>
      </c>
      <c r="I14" s="44"/>
      <c r="J14" s="43">
        <v>270</v>
      </c>
      <c r="K14" s="19"/>
      <c r="L14" s="20">
        <f>J14*H14</f>
        <v>40500</v>
      </c>
    </row>
    <row r="15" spans="1:12" ht="21.75" customHeight="1" x14ac:dyDescent="0.45">
      <c r="A15" s="18"/>
      <c r="B15" s="20"/>
      <c r="C15" s="42" t="s">
        <v>6</v>
      </c>
      <c r="D15" s="20"/>
      <c r="E15" s="20"/>
      <c r="F15" s="20"/>
      <c r="G15" s="20"/>
      <c r="H15" s="43">
        <v>100</v>
      </c>
      <c r="I15" s="44"/>
      <c r="J15" s="43">
        <v>120</v>
      </c>
      <c r="K15" s="19"/>
      <c r="L15" s="20">
        <f t="shared" ref="L15" si="0">J15*H15</f>
        <v>12000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(ห้าหมื่นหกพันหนึ่งร้อยเจ็ดสิบห้าบาทถ้วน)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52500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3675.0000000000005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56175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68A2-A1EF-4D74-985D-D0DF9B0E7E24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243853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47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200</v>
      </c>
      <c r="I14" s="44"/>
      <c r="J14" s="43">
        <v>120</v>
      </c>
      <c r="K14" s="19"/>
      <c r="L14" s="20">
        <f>J14*H14</f>
        <v>24000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100</v>
      </c>
      <c r="I15" s="44"/>
      <c r="J15" s="43">
        <v>270</v>
      </c>
      <c r="K15" s="19"/>
      <c r="L15" s="20">
        <f t="shared" ref="L15" si="0">J15*H15</f>
        <v>27000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(ห้าหมื่นสี่พันห้าร้อยเจ็ดสิบบาทถ้วน)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51000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3570.0000000000005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54570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32F9-655D-42F8-8ED4-62A46E8CE2B0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243851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46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100</v>
      </c>
      <c r="I14" s="44"/>
      <c r="J14" s="43">
        <v>120</v>
      </c>
      <c r="K14" s="19"/>
      <c r="L14" s="20">
        <f>J14*H14</f>
        <v>12000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200</v>
      </c>
      <c r="I15" s="44"/>
      <c r="J15" s="43">
        <v>270</v>
      </c>
      <c r="K15" s="19"/>
      <c r="L15" s="20">
        <f t="shared" ref="L15" si="0">J15*H15</f>
        <v>54000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(เจ็ดหมื่นหกร้อยยี่สิบบาทถ้วน)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66000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4620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70620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8C74-FFBD-44BC-8EBB-F3F1874682F5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243852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48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50</v>
      </c>
      <c r="I14" s="44"/>
      <c r="J14" s="43">
        <v>120</v>
      </c>
      <c r="K14" s="19"/>
      <c r="L14" s="20">
        <f>J14*H14</f>
        <v>6000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50</v>
      </c>
      <c r="I15" s="44"/>
      <c r="J15" s="43">
        <v>270</v>
      </c>
      <c r="K15" s="19"/>
      <c r="L15" s="20">
        <f t="shared" ref="L15:L16" si="0">J15*H15</f>
        <v>13500</v>
      </c>
    </row>
    <row r="16" spans="1:12" ht="21.75" customHeight="1" x14ac:dyDescent="0.45">
      <c r="A16" s="18"/>
      <c r="B16" s="20"/>
      <c r="C16" s="42" t="s">
        <v>8</v>
      </c>
      <c r="D16" s="20"/>
      <c r="E16" s="20"/>
      <c r="F16" s="20"/>
      <c r="G16" s="20"/>
      <c r="H16" s="43">
        <v>100</v>
      </c>
      <c r="I16" s="45"/>
      <c r="J16" s="43">
        <v>210</v>
      </c>
      <c r="K16" s="19"/>
      <c r="L16" s="20">
        <f t="shared" si="0"/>
        <v>21000</v>
      </c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(สี่หมื่นสามพันสามร้อยสามสิบห้าบาทถ้วน)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40500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2835.0000000000005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43335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CD60-F17B-4A4D-9738-4A012F57FA19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243852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49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150</v>
      </c>
      <c r="I14" s="44"/>
      <c r="J14" s="43">
        <v>120</v>
      </c>
      <c r="K14" s="19"/>
      <c r="L14" s="20">
        <f>J14*H14</f>
        <v>18000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150</v>
      </c>
      <c r="I15" s="44"/>
      <c r="J15" s="43">
        <v>270</v>
      </c>
      <c r="K15" s="19"/>
      <c r="L15" s="20">
        <f t="shared" ref="L15" si="0">J15*H15</f>
        <v>40500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(หกหมื่นสองพันห้าร้อยเก้าสิบห้าบาทถ้วน)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58500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4095.0000000000005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62595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797C-EAB8-4671-BA37-226E6A22C20A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243854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50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200</v>
      </c>
      <c r="I14" s="44"/>
      <c r="J14" s="43">
        <v>120</v>
      </c>
      <c r="K14" s="19"/>
      <c r="L14" s="20">
        <f>J14*H14</f>
        <v>24000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150</v>
      </c>
      <c r="I15" s="44"/>
      <c r="J15" s="43">
        <v>270</v>
      </c>
      <c r="K15" s="19"/>
      <c r="L15" s="20">
        <f t="shared" ref="L15" si="0">J15*H15</f>
        <v>40500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(หกหมื่นเก้าพันสิบห้าบาทถ้วน)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64500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4515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69015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39F2-2C96-4E37-85B8-192063C66BBA}">
  <dimension ref="A1:L39"/>
  <sheetViews>
    <sheetView view="pageBreakPreview" zoomScale="70" zoomScaleNormal="100" zoomScaleSheetLayoutView="70" zoomScalePageLayoutView="55" workbookViewId="0">
      <selection activeCell="I24" sqref="I24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243854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51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9</v>
      </c>
      <c r="D14" s="20"/>
      <c r="E14" s="20"/>
      <c r="F14" s="20"/>
      <c r="G14" s="20"/>
      <c r="H14" s="43">
        <v>150</v>
      </c>
      <c r="I14" s="44"/>
      <c r="J14" s="43">
        <v>270</v>
      </c>
      <c r="K14" s="19"/>
      <c r="L14" s="20">
        <f>J14*H14</f>
        <v>40500</v>
      </c>
    </row>
    <row r="15" spans="1:12" ht="21.75" customHeight="1" x14ac:dyDescent="0.45">
      <c r="A15" s="18"/>
      <c r="B15" s="20"/>
      <c r="C15" s="42" t="s">
        <v>6</v>
      </c>
      <c r="D15" s="20"/>
      <c r="E15" s="20"/>
      <c r="F15" s="20"/>
      <c r="G15" s="20"/>
      <c r="H15" s="43">
        <v>150</v>
      </c>
      <c r="I15" s="44"/>
      <c r="J15" s="43">
        <v>120</v>
      </c>
      <c r="K15" s="19"/>
      <c r="L15" s="20">
        <f>J15*H15</f>
        <v>18000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(หกหมื่นสองพันห้าร้อยเก้าสิบห้าบาทถ้วน)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58500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4095.0000000000005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62595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7CC3-C47E-45F9-82D2-85B8F929F0F2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243853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53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100</v>
      </c>
      <c r="I14" s="44"/>
      <c r="J14" s="43">
        <v>120</v>
      </c>
      <c r="K14" s="19"/>
      <c r="L14" s="20">
        <f>J14*H14</f>
        <v>12000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80</v>
      </c>
      <c r="I15" s="44"/>
      <c r="J15" s="43">
        <v>270</v>
      </c>
      <c r="K15" s="19"/>
      <c r="L15" s="20">
        <f>J15*H15</f>
        <v>21600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(สามหมื่นห้าพันเก้าร้อยห้าสิบสองบาทถ้วน)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33600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2352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35952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714E-53A0-48FB-8486-E6BC2C228F83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243854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52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9</v>
      </c>
      <c r="D14" s="20"/>
      <c r="E14" s="20"/>
      <c r="F14" s="20"/>
      <c r="G14" s="20"/>
      <c r="H14" s="43">
        <v>80</v>
      </c>
      <c r="I14" s="44"/>
      <c r="J14" s="43">
        <v>270</v>
      </c>
      <c r="K14" s="19"/>
      <c r="L14" s="20">
        <f>J14*H14</f>
        <v>21600</v>
      </c>
    </row>
    <row r="15" spans="1:12" ht="21.75" customHeight="1" x14ac:dyDescent="0.45">
      <c r="A15" s="18"/>
      <c r="B15" s="20"/>
      <c r="C15" s="42" t="s">
        <v>6</v>
      </c>
      <c r="D15" s="20"/>
      <c r="E15" s="20"/>
      <c r="F15" s="20"/>
      <c r="G15" s="20"/>
      <c r="H15" s="43">
        <v>100</v>
      </c>
      <c r="I15" s="44"/>
      <c r="J15" s="43">
        <v>120</v>
      </c>
      <c r="K15" s="19"/>
      <c r="L15" s="20">
        <f>J15*H15</f>
        <v>12000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(สามหมื่นห้าพันเก้าร้อยห้าสิบสองบาทถ้วน)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33600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2352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35952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41E2-E74A-4AB7-8D49-31242B27BFAD}">
  <dimension ref="A1:L39"/>
  <sheetViews>
    <sheetView view="pageBreakPreview" zoomScale="70" zoomScaleNormal="100" zoomScaleSheetLayoutView="70" zoomScalePageLayoutView="55" workbookViewId="0">
      <selection activeCell="H25" sqref="H25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243856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54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50</v>
      </c>
      <c r="I14" s="44"/>
      <c r="J14" s="43">
        <v>120</v>
      </c>
      <c r="K14" s="19"/>
      <c r="L14" s="20">
        <f>J14*H14</f>
        <v>6000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50</v>
      </c>
      <c r="I15" s="44"/>
      <c r="J15" s="43">
        <v>270</v>
      </c>
      <c r="K15" s="19"/>
      <c r="L15" s="20">
        <f t="shared" ref="L15:L16" si="0">J15*H15</f>
        <v>13500</v>
      </c>
    </row>
    <row r="16" spans="1:12" ht="21.75" customHeight="1" x14ac:dyDescent="0.45">
      <c r="A16" s="18"/>
      <c r="B16" s="20"/>
      <c r="C16" s="42" t="s">
        <v>8</v>
      </c>
      <c r="D16" s="20"/>
      <c r="E16" s="20"/>
      <c r="F16" s="20"/>
      <c r="G16" s="20"/>
      <c r="H16" s="43">
        <v>100</v>
      </c>
      <c r="I16" s="45"/>
      <c r="J16" s="43">
        <v>210</v>
      </c>
      <c r="K16" s="19"/>
      <c r="L16" s="20">
        <f t="shared" si="0"/>
        <v>21000</v>
      </c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(สี่หมื่นสามพันสามร้อยสามสิบห้าบาทถ้วน)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40500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2835.0000000000005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43335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A663-631C-4167-AB77-5FE0C32DF3E8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243856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55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100</v>
      </c>
      <c r="I14" s="44"/>
      <c r="J14" s="43">
        <v>120</v>
      </c>
      <c r="K14" s="19"/>
      <c r="L14" s="20">
        <f>J14*H14</f>
        <v>12000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100</v>
      </c>
      <c r="I15" s="44"/>
      <c r="J15" s="43">
        <v>270</v>
      </c>
      <c r="K15" s="19"/>
      <c r="L15" s="20">
        <f>J15*H15</f>
        <v>27000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(สี่หมื่นหนึ่งพันเจ็ดร้อยสามสิบบาทถ้วน)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39000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2730.0000000000005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41730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5DF3-8DA3-493F-A716-B1013CFF1F01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243861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58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50</v>
      </c>
      <c r="I14" s="44"/>
      <c r="J14" s="43">
        <v>120</v>
      </c>
      <c r="K14" s="19"/>
      <c r="L14" s="20">
        <f>J14*H14</f>
        <v>6000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50</v>
      </c>
      <c r="I15" s="44"/>
      <c r="J15" s="43">
        <v>270</v>
      </c>
      <c r="K15" s="19"/>
      <c r="L15" s="20">
        <f t="shared" ref="L15:L16" si="0">J15*H15</f>
        <v>13500</v>
      </c>
    </row>
    <row r="16" spans="1:12" ht="21.75" customHeight="1" x14ac:dyDescent="0.45">
      <c r="A16" s="18"/>
      <c r="B16" s="20"/>
      <c r="C16" s="42" t="s">
        <v>8</v>
      </c>
      <c r="D16" s="20"/>
      <c r="E16" s="20"/>
      <c r="F16" s="20"/>
      <c r="G16" s="20"/>
      <c r="H16" s="43">
        <v>100</v>
      </c>
      <c r="I16" s="45"/>
      <c r="J16" s="43">
        <v>210</v>
      </c>
      <c r="K16" s="19"/>
      <c r="L16" s="20">
        <f t="shared" si="0"/>
        <v>21000</v>
      </c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(สี่หมื่นสามพันสามร้อยสามสิบห้าบาทถ้วน)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40500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2835.0000000000005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43335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8AA9-A133-477D-9BD2-36D400E3A2A3}">
  <dimension ref="A1:L39"/>
  <sheetViews>
    <sheetView view="pageBreakPreview" zoomScale="70" zoomScaleNormal="100" zoomScaleSheetLayoutView="70" zoomScalePageLayoutView="55" workbookViewId="0">
      <selection activeCell="J25" sqref="J25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243856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56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50</v>
      </c>
      <c r="I14" s="44"/>
      <c r="J14" s="43">
        <v>120</v>
      </c>
      <c r="K14" s="19"/>
      <c r="L14" s="20">
        <f>J14*H14</f>
        <v>6000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50</v>
      </c>
      <c r="I15" s="44"/>
      <c r="J15" s="43">
        <v>270</v>
      </c>
      <c r="K15" s="19"/>
      <c r="L15" s="20">
        <f t="shared" ref="L15:L16" si="0">J15*H15</f>
        <v>13500</v>
      </c>
    </row>
    <row r="16" spans="1:12" ht="21.75" customHeight="1" x14ac:dyDescent="0.45">
      <c r="A16" s="18"/>
      <c r="B16" s="20"/>
      <c r="C16" s="42" t="s">
        <v>8</v>
      </c>
      <c r="D16" s="20"/>
      <c r="E16" s="20"/>
      <c r="F16" s="20"/>
      <c r="G16" s="20"/>
      <c r="H16" s="43">
        <v>100</v>
      </c>
      <c r="I16" s="45"/>
      <c r="J16" s="43">
        <v>210</v>
      </c>
      <c r="K16" s="19"/>
      <c r="L16" s="20">
        <f t="shared" si="0"/>
        <v>21000</v>
      </c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(สี่หมื่นสามพันสามร้อยสามสิบห้าบาทถ้วน)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40500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2835.0000000000005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43335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6772-55FA-4956-91AD-5D42DD9B584B}">
  <dimension ref="A1:L39"/>
  <sheetViews>
    <sheetView view="pageBreakPreview" zoomScale="70" zoomScaleNormal="100" zoomScaleSheetLayoutView="70" zoomScalePageLayoutView="55" workbookViewId="0">
      <selection activeCell="K9" sqref="K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243860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57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9</v>
      </c>
      <c r="D14" s="20"/>
      <c r="E14" s="20"/>
      <c r="F14" s="20"/>
      <c r="G14" s="20"/>
      <c r="H14" s="43">
        <v>150</v>
      </c>
      <c r="I14" s="44"/>
      <c r="J14" s="43">
        <v>270</v>
      </c>
      <c r="K14" s="19"/>
      <c r="L14" s="20">
        <f>J14*H14</f>
        <v>40500</v>
      </c>
    </row>
    <row r="15" spans="1:12" ht="21.75" customHeight="1" x14ac:dyDescent="0.45">
      <c r="A15" s="18"/>
      <c r="B15" s="20"/>
      <c r="C15" s="42" t="s">
        <v>6</v>
      </c>
      <c r="D15" s="20"/>
      <c r="E15" s="20"/>
      <c r="F15" s="20"/>
      <c r="G15" s="20"/>
      <c r="H15" s="43">
        <v>150</v>
      </c>
      <c r="I15" s="44"/>
      <c r="J15" s="43">
        <v>120</v>
      </c>
      <c r="K15" s="19"/>
      <c r="L15" s="20">
        <f>J15*H15</f>
        <v>18000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(หกหมื่นสองพันห้าร้อยเก้าสิบห้าบาทถ้วน)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58500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4095.0000000000005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62595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D86D-809F-41F1-B65F-791E38A3B95D}">
  <dimension ref="A1:L39"/>
  <sheetViews>
    <sheetView tabSelected="1" view="pageBreakPreview" topLeftCell="G3" zoomScaleNormal="100" zoomScaleSheetLayoutView="100" zoomScalePageLayoutView="55" workbookViewId="0">
      <selection activeCell="F19" sqref="F19"/>
    </sheetView>
  </sheetViews>
  <sheetFormatPr defaultColWidth="8.5703125" defaultRowHeight="21" x14ac:dyDescent="0.45"/>
  <cols>
    <col min="1" max="1" width="11.42578125" style="2" customWidth="1"/>
    <col min="2" max="2" width="4.5703125" style="1" customWidth="1"/>
    <col min="3" max="3" width="9.28515625" style="2" customWidth="1"/>
    <col min="4" max="5" width="4.7109375" style="2" customWidth="1"/>
    <col min="6" max="6" width="4" style="2" customWidth="1"/>
    <col min="7" max="7" width="15" style="2" customWidth="1"/>
    <col min="8" max="8" width="9.140625" style="30" customWidth="1"/>
    <col min="9" max="9" width="7.7109375" style="30" customWidth="1"/>
    <col min="10" max="10" width="8.7109375" style="2" customWidth="1"/>
    <col min="11" max="11" width="9.42578125" style="2" customWidth="1"/>
    <col min="12" max="12" width="11.140625" style="2" bestFit="1" customWidth="1"/>
    <col min="13" max="254" width="8.5703125" style="2"/>
    <col min="255" max="255" width="7.85546875" style="2" customWidth="1"/>
    <col min="256" max="256" width="6.5703125" style="2" customWidth="1"/>
    <col min="257" max="257" width="6.85546875" style="2" customWidth="1"/>
    <col min="258" max="258" width="8" style="2" customWidth="1"/>
    <col min="259" max="259" width="3.140625" style="2" customWidth="1"/>
    <col min="260" max="260" width="7.7109375" style="2" customWidth="1"/>
    <col min="261" max="261" width="5.5703125" style="2" customWidth="1"/>
    <col min="262" max="262" width="11.7109375" style="2" customWidth="1"/>
    <col min="263" max="263" width="10.5703125" style="2" customWidth="1"/>
    <col min="264" max="264" width="9.28515625" style="2" customWidth="1"/>
    <col min="265" max="265" width="9.140625" style="2" customWidth="1"/>
    <col min="266" max="266" width="11.85546875" style="2" customWidth="1"/>
    <col min="267" max="267" width="3.85546875" style="2" customWidth="1"/>
    <col min="268" max="510" width="8.5703125" style="2"/>
    <col min="511" max="511" width="7.85546875" style="2" customWidth="1"/>
    <col min="512" max="512" width="6.5703125" style="2" customWidth="1"/>
    <col min="513" max="513" width="6.85546875" style="2" customWidth="1"/>
    <col min="514" max="514" width="8" style="2" customWidth="1"/>
    <col min="515" max="515" width="3.140625" style="2" customWidth="1"/>
    <col min="516" max="516" width="7.7109375" style="2" customWidth="1"/>
    <col min="517" max="517" width="5.5703125" style="2" customWidth="1"/>
    <col min="518" max="518" width="11.7109375" style="2" customWidth="1"/>
    <col min="519" max="519" width="10.5703125" style="2" customWidth="1"/>
    <col min="520" max="520" width="9.28515625" style="2" customWidth="1"/>
    <col min="521" max="521" width="9.140625" style="2" customWidth="1"/>
    <col min="522" max="522" width="11.85546875" style="2" customWidth="1"/>
    <col min="523" max="523" width="3.85546875" style="2" customWidth="1"/>
    <col min="524" max="766" width="8.5703125" style="2"/>
    <col min="767" max="767" width="7.85546875" style="2" customWidth="1"/>
    <col min="768" max="768" width="6.5703125" style="2" customWidth="1"/>
    <col min="769" max="769" width="6.85546875" style="2" customWidth="1"/>
    <col min="770" max="770" width="8" style="2" customWidth="1"/>
    <col min="771" max="771" width="3.140625" style="2" customWidth="1"/>
    <col min="772" max="772" width="7.7109375" style="2" customWidth="1"/>
    <col min="773" max="773" width="5.5703125" style="2" customWidth="1"/>
    <col min="774" max="774" width="11.7109375" style="2" customWidth="1"/>
    <col min="775" max="775" width="10.5703125" style="2" customWidth="1"/>
    <col min="776" max="776" width="9.28515625" style="2" customWidth="1"/>
    <col min="777" max="777" width="9.140625" style="2" customWidth="1"/>
    <col min="778" max="778" width="11.85546875" style="2" customWidth="1"/>
    <col min="779" max="779" width="3.85546875" style="2" customWidth="1"/>
    <col min="780" max="1022" width="8.5703125" style="2"/>
    <col min="1023" max="1023" width="7.85546875" style="2" customWidth="1"/>
    <col min="1024" max="1024" width="6.5703125" style="2" customWidth="1"/>
    <col min="1025" max="1025" width="6.85546875" style="2" customWidth="1"/>
    <col min="1026" max="1026" width="8" style="2" customWidth="1"/>
    <col min="1027" max="1027" width="3.140625" style="2" customWidth="1"/>
    <col min="1028" max="1028" width="7.7109375" style="2" customWidth="1"/>
    <col min="1029" max="1029" width="5.5703125" style="2" customWidth="1"/>
    <col min="1030" max="1030" width="11.7109375" style="2" customWidth="1"/>
    <col min="1031" max="1031" width="10.5703125" style="2" customWidth="1"/>
    <col min="1032" max="1032" width="9.28515625" style="2" customWidth="1"/>
    <col min="1033" max="1033" width="9.140625" style="2" customWidth="1"/>
    <col min="1034" max="1034" width="11.85546875" style="2" customWidth="1"/>
    <col min="1035" max="1035" width="3.85546875" style="2" customWidth="1"/>
    <col min="1036" max="1278" width="8.5703125" style="2"/>
    <col min="1279" max="1279" width="7.85546875" style="2" customWidth="1"/>
    <col min="1280" max="1280" width="6.5703125" style="2" customWidth="1"/>
    <col min="1281" max="1281" width="6.85546875" style="2" customWidth="1"/>
    <col min="1282" max="1282" width="8" style="2" customWidth="1"/>
    <col min="1283" max="1283" width="3.140625" style="2" customWidth="1"/>
    <col min="1284" max="1284" width="7.7109375" style="2" customWidth="1"/>
    <col min="1285" max="1285" width="5.5703125" style="2" customWidth="1"/>
    <col min="1286" max="1286" width="11.7109375" style="2" customWidth="1"/>
    <col min="1287" max="1287" width="10.5703125" style="2" customWidth="1"/>
    <col min="1288" max="1288" width="9.28515625" style="2" customWidth="1"/>
    <col min="1289" max="1289" width="9.140625" style="2" customWidth="1"/>
    <col min="1290" max="1290" width="11.85546875" style="2" customWidth="1"/>
    <col min="1291" max="1291" width="3.85546875" style="2" customWidth="1"/>
    <col min="1292" max="1534" width="8.5703125" style="2"/>
    <col min="1535" max="1535" width="7.85546875" style="2" customWidth="1"/>
    <col min="1536" max="1536" width="6.5703125" style="2" customWidth="1"/>
    <col min="1537" max="1537" width="6.85546875" style="2" customWidth="1"/>
    <col min="1538" max="1538" width="8" style="2" customWidth="1"/>
    <col min="1539" max="1539" width="3.140625" style="2" customWidth="1"/>
    <col min="1540" max="1540" width="7.7109375" style="2" customWidth="1"/>
    <col min="1541" max="1541" width="5.5703125" style="2" customWidth="1"/>
    <col min="1542" max="1542" width="11.7109375" style="2" customWidth="1"/>
    <col min="1543" max="1543" width="10.5703125" style="2" customWidth="1"/>
    <col min="1544" max="1544" width="9.28515625" style="2" customWidth="1"/>
    <col min="1545" max="1545" width="9.140625" style="2" customWidth="1"/>
    <col min="1546" max="1546" width="11.85546875" style="2" customWidth="1"/>
    <col min="1547" max="1547" width="3.85546875" style="2" customWidth="1"/>
    <col min="1548" max="1790" width="8.5703125" style="2"/>
    <col min="1791" max="1791" width="7.85546875" style="2" customWidth="1"/>
    <col min="1792" max="1792" width="6.5703125" style="2" customWidth="1"/>
    <col min="1793" max="1793" width="6.85546875" style="2" customWidth="1"/>
    <col min="1794" max="1794" width="8" style="2" customWidth="1"/>
    <col min="1795" max="1795" width="3.140625" style="2" customWidth="1"/>
    <col min="1796" max="1796" width="7.7109375" style="2" customWidth="1"/>
    <col min="1797" max="1797" width="5.5703125" style="2" customWidth="1"/>
    <col min="1798" max="1798" width="11.7109375" style="2" customWidth="1"/>
    <col min="1799" max="1799" width="10.5703125" style="2" customWidth="1"/>
    <col min="1800" max="1800" width="9.28515625" style="2" customWidth="1"/>
    <col min="1801" max="1801" width="9.140625" style="2" customWidth="1"/>
    <col min="1802" max="1802" width="11.85546875" style="2" customWidth="1"/>
    <col min="1803" max="1803" width="3.85546875" style="2" customWidth="1"/>
    <col min="1804" max="2046" width="8.5703125" style="2"/>
    <col min="2047" max="2047" width="7.85546875" style="2" customWidth="1"/>
    <col min="2048" max="2048" width="6.5703125" style="2" customWidth="1"/>
    <col min="2049" max="2049" width="6.85546875" style="2" customWidth="1"/>
    <col min="2050" max="2050" width="8" style="2" customWidth="1"/>
    <col min="2051" max="2051" width="3.140625" style="2" customWidth="1"/>
    <col min="2052" max="2052" width="7.7109375" style="2" customWidth="1"/>
    <col min="2053" max="2053" width="5.5703125" style="2" customWidth="1"/>
    <col min="2054" max="2054" width="11.7109375" style="2" customWidth="1"/>
    <col min="2055" max="2055" width="10.5703125" style="2" customWidth="1"/>
    <col min="2056" max="2056" width="9.28515625" style="2" customWidth="1"/>
    <col min="2057" max="2057" width="9.140625" style="2" customWidth="1"/>
    <col min="2058" max="2058" width="11.85546875" style="2" customWidth="1"/>
    <col min="2059" max="2059" width="3.85546875" style="2" customWidth="1"/>
    <col min="2060" max="2302" width="8.5703125" style="2"/>
    <col min="2303" max="2303" width="7.85546875" style="2" customWidth="1"/>
    <col min="2304" max="2304" width="6.5703125" style="2" customWidth="1"/>
    <col min="2305" max="2305" width="6.85546875" style="2" customWidth="1"/>
    <col min="2306" max="2306" width="8" style="2" customWidth="1"/>
    <col min="2307" max="2307" width="3.140625" style="2" customWidth="1"/>
    <col min="2308" max="2308" width="7.7109375" style="2" customWidth="1"/>
    <col min="2309" max="2309" width="5.5703125" style="2" customWidth="1"/>
    <col min="2310" max="2310" width="11.7109375" style="2" customWidth="1"/>
    <col min="2311" max="2311" width="10.5703125" style="2" customWidth="1"/>
    <col min="2312" max="2312" width="9.28515625" style="2" customWidth="1"/>
    <col min="2313" max="2313" width="9.140625" style="2" customWidth="1"/>
    <col min="2314" max="2314" width="11.85546875" style="2" customWidth="1"/>
    <col min="2315" max="2315" width="3.85546875" style="2" customWidth="1"/>
    <col min="2316" max="2558" width="8.5703125" style="2"/>
    <col min="2559" max="2559" width="7.85546875" style="2" customWidth="1"/>
    <col min="2560" max="2560" width="6.5703125" style="2" customWidth="1"/>
    <col min="2561" max="2561" width="6.85546875" style="2" customWidth="1"/>
    <col min="2562" max="2562" width="8" style="2" customWidth="1"/>
    <col min="2563" max="2563" width="3.140625" style="2" customWidth="1"/>
    <col min="2564" max="2564" width="7.7109375" style="2" customWidth="1"/>
    <col min="2565" max="2565" width="5.5703125" style="2" customWidth="1"/>
    <col min="2566" max="2566" width="11.7109375" style="2" customWidth="1"/>
    <col min="2567" max="2567" width="10.5703125" style="2" customWidth="1"/>
    <col min="2568" max="2568" width="9.28515625" style="2" customWidth="1"/>
    <col min="2569" max="2569" width="9.140625" style="2" customWidth="1"/>
    <col min="2570" max="2570" width="11.85546875" style="2" customWidth="1"/>
    <col min="2571" max="2571" width="3.85546875" style="2" customWidth="1"/>
    <col min="2572" max="2814" width="8.5703125" style="2"/>
    <col min="2815" max="2815" width="7.85546875" style="2" customWidth="1"/>
    <col min="2816" max="2816" width="6.5703125" style="2" customWidth="1"/>
    <col min="2817" max="2817" width="6.85546875" style="2" customWidth="1"/>
    <col min="2818" max="2818" width="8" style="2" customWidth="1"/>
    <col min="2819" max="2819" width="3.140625" style="2" customWidth="1"/>
    <col min="2820" max="2820" width="7.7109375" style="2" customWidth="1"/>
    <col min="2821" max="2821" width="5.5703125" style="2" customWidth="1"/>
    <col min="2822" max="2822" width="11.7109375" style="2" customWidth="1"/>
    <col min="2823" max="2823" width="10.5703125" style="2" customWidth="1"/>
    <col min="2824" max="2824" width="9.28515625" style="2" customWidth="1"/>
    <col min="2825" max="2825" width="9.140625" style="2" customWidth="1"/>
    <col min="2826" max="2826" width="11.85546875" style="2" customWidth="1"/>
    <col min="2827" max="2827" width="3.85546875" style="2" customWidth="1"/>
    <col min="2828" max="3070" width="8.5703125" style="2"/>
    <col min="3071" max="3071" width="7.85546875" style="2" customWidth="1"/>
    <col min="3072" max="3072" width="6.5703125" style="2" customWidth="1"/>
    <col min="3073" max="3073" width="6.85546875" style="2" customWidth="1"/>
    <col min="3074" max="3074" width="8" style="2" customWidth="1"/>
    <col min="3075" max="3075" width="3.140625" style="2" customWidth="1"/>
    <col min="3076" max="3076" width="7.7109375" style="2" customWidth="1"/>
    <col min="3077" max="3077" width="5.5703125" style="2" customWidth="1"/>
    <col min="3078" max="3078" width="11.7109375" style="2" customWidth="1"/>
    <col min="3079" max="3079" width="10.5703125" style="2" customWidth="1"/>
    <col min="3080" max="3080" width="9.28515625" style="2" customWidth="1"/>
    <col min="3081" max="3081" width="9.140625" style="2" customWidth="1"/>
    <col min="3082" max="3082" width="11.85546875" style="2" customWidth="1"/>
    <col min="3083" max="3083" width="3.85546875" style="2" customWidth="1"/>
    <col min="3084" max="3326" width="8.5703125" style="2"/>
    <col min="3327" max="3327" width="7.85546875" style="2" customWidth="1"/>
    <col min="3328" max="3328" width="6.5703125" style="2" customWidth="1"/>
    <col min="3329" max="3329" width="6.85546875" style="2" customWidth="1"/>
    <col min="3330" max="3330" width="8" style="2" customWidth="1"/>
    <col min="3331" max="3331" width="3.140625" style="2" customWidth="1"/>
    <col min="3332" max="3332" width="7.7109375" style="2" customWidth="1"/>
    <col min="3333" max="3333" width="5.5703125" style="2" customWidth="1"/>
    <col min="3334" max="3334" width="11.7109375" style="2" customWidth="1"/>
    <col min="3335" max="3335" width="10.5703125" style="2" customWidth="1"/>
    <col min="3336" max="3336" width="9.28515625" style="2" customWidth="1"/>
    <col min="3337" max="3337" width="9.140625" style="2" customWidth="1"/>
    <col min="3338" max="3338" width="11.85546875" style="2" customWidth="1"/>
    <col min="3339" max="3339" width="3.85546875" style="2" customWidth="1"/>
    <col min="3340" max="3582" width="8.5703125" style="2"/>
    <col min="3583" max="3583" width="7.85546875" style="2" customWidth="1"/>
    <col min="3584" max="3584" width="6.5703125" style="2" customWidth="1"/>
    <col min="3585" max="3585" width="6.85546875" style="2" customWidth="1"/>
    <col min="3586" max="3586" width="8" style="2" customWidth="1"/>
    <col min="3587" max="3587" width="3.140625" style="2" customWidth="1"/>
    <col min="3588" max="3588" width="7.7109375" style="2" customWidth="1"/>
    <col min="3589" max="3589" width="5.5703125" style="2" customWidth="1"/>
    <col min="3590" max="3590" width="11.7109375" style="2" customWidth="1"/>
    <col min="3591" max="3591" width="10.5703125" style="2" customWidth="1"/>
    <col min="3592" max="3592" width="9.28515625" style="2" customWidth="1"/>
    <col min="3593" max="3593" width="9.140625" style="2" customWidth="1"/>
    <col min="3594" max="3594" width="11.85546875" style="2" customWidth="1"/>
    <col min="3595" max="3595" width="3.85546875" style="2" customWidth="1"/>
    <col min="3596" max="3838" width="8.5703125" style="2"/>
    <col min="3839" max="3839" width="7.85546875" style="2" customWidth="1"/>
    <col min="3840" max="3840" width="6.5703125" style="2" customWidth="1"/>
    <col min="3841" max="3841" width="6.85546875" style="2" customWidth="1"/>
    <col min="3842" max="3842" width="8" style="2" customWidth="1"/>
    <col min="3843" max="3843" width="3.140625" style="2" customWidth="1"/>
    <col min="3844" max="3844" width="7.7109375" style="2" customWidth="1"/>
    <col min="3845" max="3845" width="5.5703125" style="2" customWidth="1"/>
    <col min="3846" max="3846" width="11.7109375" style="2" customWidth="1"/>
    <col min="3847" max="3847" width="10.5703125" style="2" customWidth="1"/>
    <col min="3848" max="3848" width="9.28515625" style="2" customWidth="1"/>
    <col min="3849" max="3849" width="9.140625" style="2" customWidth="1"/>
    <col min="3850" max="3850" width="11.85546875" style="2" customWidth="1"/>
    <col min="3851" max="3851" width="3.85546875" style="2" customWidth="1"/>
    <col min="3852" max="4094" width="8.5703125" style="2"/>
    <col min="4095" max="4095" width="7.85546875" style="2" customWidth="1"/>
    <col min="4096" max="4096" width="6.5703125" style="2" customWidth="1"/>
    <col min="4097" max="4097" width="6.85546875" style="2" customWidth="1"/>
    <col min="4098" max="4098" width="8" style="2" customWidth="1"/>
    <col min="4099" max="4099" width="3.140625" style="2" customWidth="1"/>
    <col min="4100" max="4100" width="7.7109375" style="2" customWidth="1"/>
    <col min="4101" max="4101" width="5.5703125" style="2" customWidth="1"/>
    <col min="4102" max="4102" width="11.7109375" style="2" customWidth="1"/>
    <col min="4103" max="4103" width="10.5703125" style="2" customWidth="1"/>
    <col min="4104" max="4104" width="9.28515625" style="2" customWidth="1"/>
    <col min="4105" max="4105" width="9.140625" style="2" customWidth="1"/>
    <col min="4106" max="4106" width="11.85546875" style="2" customWidth="1"/>
    <col min="4107" max="4107" width="3.85546875" style="2" customWidth="1"/>
    <col min="4108" max="4350" width="8.5703125" style="2"/>
    <col min="4351" max="4351" width="7.85546875" style="2" customWidth="1"/>
    <col min="4352" max="4352" width="6.5703125" style="2" customWidth="1"/>
    <col min="4353" max="4353" width="6.85546875" style="2" customWidth="1"/>
    <col min="4354" max="4354" width="8" style="2" customWidth="1"/>
    <col min="4355" max="4355" width="3.140625" style="2" customWidth="1"/>
    <col min="4356" max="4356" width="7.7109375" style="2" customWidth="1"/>
    <col min="4357" max="4357" width="5.5703125" style="2" customWidth="1"/>
    <col min="4358" max="4358" width="11.7109375" style="2" customWidth="1"/>
    <col min="4359" max="4359" width="10.5703125" style="2" customWidth="1"/>
    <col min="4360" max="4360" width="9.28515625" style="2" customWidth="1"/>
    <col min="4361" max="4361" width="9.140625" style="2" customWidth="1"/>
    <col min="4362" max="4362" width="11.85546875" style="2" customWidth="1"/>
    <col min="4363" max="4363" width="3.85546875" style="2" customWidth="1"/>
    <col min="4364" max="4606" width="8.5703125" style="2"/>
    <col min="4607" max="4607" width="7.85546875" style="2" customWidth="1"/>
    <col min="4608" max="4608" width="6.5703125" style="2" customWidth="1"/>
    <col min="4609" max="4609" width="6.85546875" style="2" customWidth="1"/>
    <col min="4610" max="4610" width="8" style="2" customWidth="1"/>
    <col min="4611" max="4611" width="3.140625" style="2" customWidth="1"/>
    <col min="4612" max="4612" width="7.7109375" style="2" customWidth="1"/>
    <col min="4613" max="4613" width="5.5703125" style="2" customWidth="1"/>
    <col min="4614" max="4614" width="11.7109375" style="2" customWidth="1"/>
    <col min="4615" max="4615" width="10.5703125" style="2" customWidth="1"/>
    <col min="4616" max="4616" width="9.28515625" style="2" customWidth="1"/>
    <col min="4617" max="4617" width="9.140625" style="2" customWidth="1"/>
    <col min="4618" max="4618" width="11.85546875" style="2" customWidth="1"/>
    <col min="4619" max="4619" width="3.85546875" style="2" customWidth="1"/>
    <col min="4620" max="4862" width="8.5703125" style="2"/>
    <col min="4863" max="4863" width="7.85546875" style="2" customWidth="1"/>
    <col min="4864" max="4864" width="6.5703125" style="2" customWidth="1"/>
    <col min="4865" max="4865" width="6.85546875" style="2" customWidth="1"/>
    <col min="4866" max="4866" width="8" style="2" customWidth="1"/>
    <col min="4867" max="4867" width="3.140625" style="2" customWidth="1"/>
    <col min="4868" max="4868" width="7.7109375" style="2" customWidth="1"/>
    <col min="4869" max="4869" width="5.5703125" style="2" customWidth="1"/>
    <col min="4870" max="4870" width="11.7109375" style="2" customWidth="1"/>
    <col min="4871" max="4871" width="10.5703125" style="2" customWidth="1"/>
    <col min="4872" max="4872" width="9.28515625" style="2" customWidth="1"/>
    <col min="4873" max="4873" width="9.140625" style="2" customWidth="1"/>
    <col min="4874" max="4874" width="11.85546875" style="2" customWidth="1"/>
    <col min="4875" max="4875" width="3.85546875" style="2" customWidth="1"/>
    <col min="4876" max="5118" width="8.5703125" style="2"/>
    <col min="5119" max="5119" width="7.85546875" style="2" customWidth="1"/>
    <col min="5120" max="5120" width="6.5703125" style="2" customWidth="1"/>
    <col min="5121" max="5121" width="6.85546875" style="2" customWidth="1"/>
    <col min="5122" max="5122" width="8" style="2" customWidth="1"/>
    <col min="5123" max="5123" width="3.140625" style="2" customWidth="1"/>
    <col min="5124" max="5124" width="7.7109375" style="2" customWidth="1"/>
    <col min="5125" max="5125" width="5.5703125" style="2" customWidth="1"/>
    <col min="5126" max="5126" width="11.7109375" style="2" customWidth="1"/>
    <col min="5127" max="5127" width="10.5703125" style="2" customWidth="1"/>
    <col min="5128" max="5128" width="9.28515625" style="2" customWidth="1"/>
    <col min="5129" max="5129" width="9.140625" style="2" customWidth="1"/>
    <col min="5130" max="5130" width="11.85546875" style="2" customWidth="1"/>
    <col min="5131" max="5131" width="3.85546875" style="2" customWidth="1"/>
    <col min="5132" max="5374" width="8.5703125" style="2"/>
    <col min="5375" max="5375" width="7.85546875" style="2" customWidth="1"/>
    <col min="5376" max="5376" width="6.5703125" style="2" customWidth="1"/>
    <col min="5377" max="5377" width="6.85546875" style="2" customWidth="1"/>
    <col min="5378" max="5378" width="8" style="2" customWidth="1"/>
    <col min="5379" max="5379" width="3.140625" style="2" customWidth="1"/>
    <col min="5380" max="5380" width="7.7109375" style="2" customWidth="1"/>
    <col min="5381" max="5381" width="5.5703125" style="2" customWidth="1"/>
    <col min="5382" max="5382" width="11.7109375" style="2" customWidth="1"/>
    <col min="5383" max="5383" width="10.5703125" style="2" customWidth="1"/>
    <col min="5384" max="5384" width="9.28515625" style="2" customWidth="1"/>
    <col min="5385" max="5385" width="9.140625" style="2" customWidth="1"/>
    <col min="5386" max="5386" width="11.85546875" style="2" customWidth="1"/>
    <col min="5387" max="5387" width="3.85546875" style="2" customWidth="1"/>
    <col min="5388" max="5630" width="8.5703125" style="2"/>
    <col min="5631" max="5631" width="7.85546875" style="2" customWidth="1"/>
    <col min="5632" max="5632" width="6.5703125" style="2" customWidth="1"/>
    <col min="5633" max="5633" width="6.85546875" style="2" customWidth="1"/>
    <col min="5634" max="5634" width="8" style="2" customWidth="1"/>
    <col min="5635" max="5635" width="3.140625" style="2" customWidth="1"/>
    <col min="5636" max="5636" width="7.7109375" style="2" customWidth="1"/>
    <col min="5637" max="5637" width="5.5703125" style="2" customWidth="1"/>
    <col min="5638" max="5638" width="11.7109375" style="2" customWidth="1"/>
    <col min="5639" max="5639" width="10.5703125" style="2" customWidth="1"/>
    <col min="5640" max="5640" width="9.28515625" style="2" customWidth="1"/>
    <col min="5641" max="5641" width="9.140625" style="2" customWidth="1"/>
    <col min="5642" max="5642" width="11.85546875" style="2" customWidth="1"/>
    <col min="5643" max="5643" width="3.85546875" style="2" customWidth="1"/>
    <col min="5644" max="5886" width="8.5703125" style="2"/>
    <col min="5887" max="5887" width="7.85546875" style="2" customWidth="1"/>
    <col min="5888" max="5888" width="6.5703125" style="2" customWidth="1"/>
    <col min="5889" max="5889" width="6.85546875" style="2" customWidth="1"/>
    <col min="5890" max="5890" width="8" style="2" customWidth="1"/>
    <col min="5891" max="5891" width="3.140625" style="2" customWidth="1"/>
    <col min="5892" max="5892" width="7.7109375" style="2" customWidth="1"/>
    <col min="5893" max="5893" width="5.5703125" style="2" customWidth="1"/>
    <col min="5894" max="5894" width="11.7109375" style="2" customWidth="1"/>
    <col min="5895" max="5895" width="10.5703125" style="2" customWidth="1"/>
    <col min="5896" max="5896" width="9.28515625" style="2" customWidth="1"/>
    <col min="5897" max="5897" width="9.140625" style="2" customWidth="1"/>
    <col min="5898" max="5898" width="11.85546875" style="2" customWidth="1"/>
    <col min="5899" max="5899" width="3.85546875" style="2" customWidth="1"/>
    <col min="5900" max="6142" width="8.5703125" style="2"/>
    <col min="6143" max="6143" width="7.85546875" style="2" customWidth="1"/>
    <col min="6144" max="6144" width="6.5703125" style="2" customWidth="1"/>
    <col min="6145" max="6145" width="6.85546875" style="2" customWidth="1"/>
    <col min="6146" max="6146" width="8" style="2" customWidth="1"/>
    <col min="6147" max="6147" width="3.140625" style="2" customWidth="1"/>
    <col min="6148" max="6148" width="7.7109375" style="2" customWidth="1"/>
    <col min="6149" max="6149" width="5.5703125" style="2" customWidth="1"/>
    <col min="6150" max="6150" width="11.7109375" style="2" customWidth="1"/>
    <col min="6151" max="6151" width="10.5703125" style="2" customWidth="1"/>
    <col min="6152" max="6152" width="9.28515625" style="2" customWidth="1"/>
    <col min="6153" max="6153" width="9.140625" style="2" customWidth="1"/>
    <col min="6154" max="6154" width="11.85546875" style="2" customWidth="1"/>
    <col min="6155" max="6155" width="3.85546875" style="2" customWidth="1"/>
    <col min="6156" max="6398" width="8.5703125" style="2"/>
    <col min="6399" max="6399" width="7.85546875" style="2" customWidth="1"/>
    <col min="6400" max="6400" width="6.5703125" style="2" customWidth="1"/>
    <col min="6401" max="6401" width="6.85546875" style="2" customWidth="1"/>
    <col min="6402" max="6402" width="8" style="2" customWidth="1"/>
    <col min="6403" max="6403" width="3.140625" style="2" customWidth="1"/>
    <col min="6404" max="6404" width="7.7109375" style="2" customWidth="1"/>
    <col min="6405" max="6405" width="5.5703125" style="2" customWidth="1"/>
    <col min="6406" max="6406" width="11.7109375" style="2" customWidth="1"/>
    <col min="6407" max="6407" width="10.5703125" style="2" customWidth="1"/>
    <col min="6408" max="6408" width="9.28515625" style="2" customWidth="1"/>
    <col min="6409" max="6409" width="9.140625" style="2" customWidth="1"/>
    <col min="6410" max="6410" width="11.85546875" style="2" customWidth="1"/>
    <col min="6411" max="6411" width="3.85546875" style="2" customWidth="1"/>
    <col min="6412" max="6654" width="8.5703125" style="2"/>
    <col min="6655" max="6655" width="7.85546875" style="2" customWidth="1"/>
    <col min="6656" max="6656" width="6.5703125" style="2" customWidth="1"/>
    <col min="6657" max="6657" width="6.85546875" style="2" customWidth="1"/>
    <col min="6658" max="6658" width="8" style="2" customWidth="1"/>
    <col min="6659" max="6659" width="3.140625" style="2" customWidth="1"/>
    <col min="6660" max="6660" width="7.7109375" style="2" customWidth="1"/>
    <col min="6661" max="6661" width="5.5703125" style="2" customWidth="1"/>
    <col min="6662" max="6662" width="11.7109375" style="2" customWidth="1"/>
    <col min="6663" max="6663" width="10.5703125" style="2" customWidth="1"/>
    <col min="6664" max="6664" width="9.28515625" style="2" customWidth="1"/>
    <col min="6665" max="6665" width="9.140625" style="2" customWidth="1"/>
    <col min="6666" max="6666" width="11.85546875" style="2" customWidth="1"/>
    <col min="6667" max="6667" width="3.85546875" style="2" customWidth="1"/>
    <col min="6668" max="6910" width="8.5703125" style="2"/>
    <col min="6911" max="6911" width="7.85546875" style="2" customWidth="1"/>
    <col min="6912" max="6912" width="6.5703125" style="2" customWidth="1"/>
    <col min="6913" max="6913" width="6.85546875" style="2" customWidth="1"/>
    <col min="6914" max="6914" width="8" style="2" customWidth="1"/>
    <col min="6915" max="6915" width="3.140625" style="2" customWidth="1"/>
    <col min="6916" max="6916" width="7.7109375" style="2" customWidth="1"/>
    <col min="6917" max="6917" width="5.5703125" style="2" customWidth="1"/>
    <col min="6918" max="6918" width="11.7109375" style="2" customWidth="1"/>
    <col min="6919" max="6919" width="10.5703125" style="2" customWidth="1"/>
    <col min="6920" max="6920" width="9.28515625" style="2" customWidth="1"/>
    <col min="6921" max="6921" width="9.140625" style="2" customWidth="1"/>
    <col min="6922" max="6922" width="11.85546875" style="2" customWidth="1"/>
    <col min="6923" max="6923" width="3.85546875" style="2" customWidth="1"/>
    <col min="6924" max="7166" width="8.5703125" style="2"/>
    <col min="7167" max="7167" width="7.85546875" style="2" customWidth="1"/>
    <col min="7168" max="7168" width="6.5703125" style="2" customWidth="1"/>
    <col min="7169" max="7169" width="6.85546875" style="2" customWidth="1"/>
    <col min="7170" max="7170" width="8" style="2" customWidth="1"/>
    <col min="7171" max="7171" width="3.140625" style="2" customWidth="1"/>
    <col min="7172" max="7172" width="7.7109375" style="2" customWidth="1"/>
    <col min="7173" max="7173" width="5.5703125" style="2" customWidth="1"/>
    <col min="7174" max="7174" width="11.7109375" style="2" customWidth="1"/>
    <col min="7175" max="7175" width="10.5703125" style="2" customWidth="1"/>
    <col min="7176" max="7176" width="9.28515625" style="2" customWidth="1"/>
    <col min="7177" max="7177" width="9.140625" style="2" customWidth="1"/>
    <col min="7178" max="7178" width="11.85546875" style="2" customWidth="1"/>
    <col min="7179" max="7179" width="3.85546875" style="2" customWidth="1"/>
    <col min="7180" max="7422" width="8.5703125" style="2"/>
    <col min="7423" max="7423" width="7.85546875" style="2" customWidth="1"/>
    <col min="7424" max="7424" width="6.5703125" style="2" customWidth="1"/>
    <col min="7425" max="7425" width="6.85546875" style="2" customWidth="1"/>
    <col min="7426" max="7426" width="8" style="2" customWidth="1"/>
    <col min="7427" max="7427" width="3.140625" style="2" customWidth="1"/>
    <col min="7428" max="7428" width="7.7109375" style="2" customWidth="1"/>
    <col min="7429" max="7429" width="5.5703125" style="2" customWidth="1"/>
    <col min="7430" max="7430" width="11.7109375" style="2" customWidth="1"/>
    <col min="7431" max="7431" width="10.5703125" style="2" customWidth="1"/>
    <col min="7432" max="7432" width="9.28515625" style="2" customWidth="1"/>
    <col min="7433" max="7433" width="9.140625" style="2" customWidth="1"/>
    <col min="7434" max="7434" width="11.85546875" style="2" customWidth="1"/>
    <col min="7435" max="7435" width="3.85546875" style="2" customWidth="1"/>
    <col min="7436" max="7678" width="8.5703125" style="2"/>
    <col min="7679" max="7679" width="7.85546875" style="2" customWidth="1"/>
    <col min="7680" max="7680" width="6.5703125" style="2" customWidth="1"/>
    <col min="7681" max="7681" width="6.85546875" style="2" customWidth="1"/>
    <col min="7682" max="7682" width="8" style="2" customWidth="1"/>
    <col min="7683" max="7683" width="3.140625" style="2" customWidth="1"/>
    <col min="7684" max="7684" width="7.7109375" style="2" customWidth="1"/>
    <col min="7685" max="7685" width="5.5703125" style="2" customWidth="1"/>
    <col min="7686" max="7686" width="11.7109375" style="2" customWidth="1"/>
    <col min="7687" max="7687" width="10.5703125" style="2" customWidth="1"/>
    <col min="7688" max="7688" width="9.28515625" style="2" customWidth="1"/>
    <col min="7689" max="7689" width="9.140625" style="2" customWidth="1"/>
    <col min="7690" max="7690" width="11.85546875" style="2" customWidth="1"/>
    <col min="7691" max="7691" width="3.85546875" style="2" customWidth="1"/>
    <col min="7692" max="7934" width="8.5703125" style="2"/>
    <col min="7935" max="7935" width="7.85546875" style="2" customWidth="1"/>
    <col min="7936" max="7936" width="6.5703125" style="2" customWidth="1"/>
    <col min="7937" max="7937" width="6.85546875" style="2" customWidth="1"/>
    <col min="7938" max="7938" width="8" style="2" customWidth="1"/>
    <col min="7939" max="7939" width="3.140625" style="2" customWidth="1"/>
    <col min="7940" max="7940" width="7.7109375" style="2" customWidth="1"/>
    <col min="7941" max="7941" width="5.5703125" style="2" customWidth="1"/>
    <col min="7942" max="7942" width="11.7109375" style="2" customWidth="1"/>
    <col min="7943" max="7943" width="10.5703125" style="2" customWidth="1"/>
    <col min="7944" max="7944" width="9.28515625" style="2" customWidth="1"/>
    <col min="7945" max="7945" width="9.140625" style="2" customWidth="1"/>
    <col min="7946" max="7946" width="11.85546875" style="2" customWidth="1"/>
    <col min="7947" max="7947" width="3.85546875" style="2" customWidth="1"/>
    <col min="7948" max="8190" width="8.5703125" style="2"/>
    <col min="8191" max="8191" width="7.85546875" style="2" customWidth="1"/>
    <col min="8192" max="8192" width="6.5703125" style="2" customWidth="1"/>
    <col min="8193" max="8193" width="6.85546875" style="2" customWidth="1"/>
    <col min="8194" max="8194" width="8" style="2" customWidth="1"/>
    <col min="8195" max="8195" width="3.140625" style="2" customWidth="1"/>
    <col min="8196" max="8196" width="7.7109375" style="2" customWidth="1"/>
    <col min="8197" max="8197" width="5.5703125" style="2" customWidth="1"/>
    <col min="8198" max="8198" width="11.7109375" style="2" customWidth="1"/>
    <col min="8199" max="8199" width="10.5703125" style="2" customWidth="1"/>
    <col min="8200" max="8200" width="9.28515625" style="2" customWidth="1"/>
    <col min="8201" max="8201" width="9.140625" style="2" customWidth="1"/>
    <col min="8202" max="8202" width="11.85546875" style="2" customWidth="1"/>
    <col min="8203" max="8203" width="3.85546875" style="2" customWidth="1"/>
    <col min="8204" max="8446" width="8.5703125" style="2"/>
    <col min="8447" max="8447" width="7.85546875" style="2" customWidth="1"/>
    <col min="8448" max="8448" width="6.5703125" style="2" customWidth="1"/>
    <col min="8449" max="8449" width="6.85546875" style="2" customWidth="1"/>
    <col min="8450" max="8450" width="8" style="2" customWidth="1"/>
    <col min="8451" max="8451" width="3.140625" style="2" customWidth="1"/>
    <col min="8452" max="8452" width="7.7109375" style="2" customWidth="1"/>
    <col min="8453" max="8453" width="5.5703125" style="2" customWidth="1"/>
    <col min="8454" max="8454" width="11.7109375" style="2" customWidth="1"/>
    <col min="8455" max="8455" width="10.5703125" style="2" customWidth="1"/>
    <col min="8456" max="8456" width="9.28515625" style="2" customWidth="1"/>
    <col min="8457" max="8457" width="9.140625" style="2" customWidth="1"/>
    <col min="8458" max="8458" width="11.85546875" style="2" customWidth="1"/>
    <col min="8459" max="8459" width="3.85546875" style="2" customWidth="1"/>
    <col min="8460" max="8702" width="8.5703125" style="2"/>
    <col min="8703" max="8703" width="7.85546875" style="2" customWidth="1"/>
    <col min="8704" max="8704" width="6.5703125" style="2" customWidth="1"/>
    <col min="8705" max="8705" width="6.85546875" style="2" customWidth="1"/>
    <col min="8706" max="8706" width="8" style="2" customWidth="1"/>
    <col min="8707" max="8707" width="3.140625" style="2" customWidth="1"/>
    <col min="8708" max="8708" width="7.7109375" style="2" customWidth="1"/>
    <col min="8709" max="8709" width="5.5703125" style="2" customWidth="1"/>
    <col min="8710" max="8710" width="11.7109375" style="2" customWidth="1"/>
    <col min="8711" max="8711" width="10.5703125" style="2" customWidth="1"/>
    <col min="8712" max="8712" width="9.28515625" style="2" customWidth="1"/>
    <col min="8713" max="8713" width="9.140625" style="2" customWidth="1"/>
    <col min="8714" max="8714" width="11.85546875" style="2" customWidth="1"/>
    <col min="8715" max="8715" width="3.85546875" style="2" customWidth="1"/>
    <col min="8716" max="8958" width="8.5703125" style="2"/>
    <col min="8959" max="8959" width="7.85546875" style="2" customWidth="1"/>
    <col min="8960" max="8960" width="6.5703125" style="2" customWidth="1"/>
    <col min="8961" max="8961" width="6.85546875" style="2" customWidth="1"/>
    <col min="8962" max="8962" width="8" style="2" customWidth="1"/>
    <col min="8963" max="8963" width="3.140625" style="2" customWidth="1"/>
    <col min="8964" max="8964" width="7.7109375" style="2" customWidth="1"/>
    <col min="8965" max="8965" width="5.5703125" style="2" customWidth="1"/>
    <col min="8966" max="8966" width="11.7109375" style="2" customWidth="1"/>
    <col min="8967" max="8967" width="10.5703125" style="2" customWidth="1"/>
    <col min="8968" max="8968" width="9.28515625" style="2" customWidth="1"/>
    <col min="8969" max="8969" width="9.140625" style="2" customWidth="1"/>
    <col min="8970" max="8970" width="11.85546875" style="2" customWidth="1"/>
    <col min="8971" max="8971" width="3.85546875" style="2" customWidth="1"/>
    <col min="8972" max="9214" width="8.5703125" style="2"/>
    <col min="9215" max="9215" width="7.85546875" style="2" customWidth="1"/>
    <col min="9216" max="9216" width="6.5703125" style="2" customWidth="1"/>
    <col min="9217" max="9217" width="6.85546875" style="2" customWidth="1"/>
    <col min="9218" max="9218" width="8" style="2" customWidth="1"/>
    <col min="9219" max="9219" width="3.140625" style="2" customWidth="1"/>
    <col min="9220" max="9220" width="7.7109375" style="2" customWidth="1"/>
    <col min="9221" max="9221" width="5.5703125" style="2" customWidth="1"/>
    <col min="9222" max="9222" width="11.7109375" style="2" customWidth="1"/>
    <col min="9223" max="9223" width="10.5703125" style="2" customWidth="1"/>
    <col min="9224" max="9224" width="9.28515625" style="2" customWidth="1"/>
    <col min="9225" max="9225" width="9.140625" style="2" customWidth="1"/>
    <col min="9226" max="9226" width="11.85546875" style="2" customWidth="1"/>
    <col min="9227" max="9227" width="3.85546875" style="2" customWidth="1"/>
    <col min="9228" max="9470" width="8.5703125" style="2"/>
    <col min="9471" max="9471" width="7.85546875" style="2" customWidth="1"/>
    <col min="9472" max="9472" width="6.5703125" style="2" customWidth="1"/>
    <col min="9473" max="9473" width="6.85546875" style="2" customWidth="1"/>
    <col min="9474" max="9474" width="8" style="2" customWidth="1"/>
    <col min="9475" max="9475" width="3.140625" style="2" customWidth="1"/>
    <col min="9476" max="9476" width="7.7109375" style="2" customWidth="1"/>
    <col min="9477" max="9477" width="5.5703125" style="2" customWidth="1"/>
    <col min="9478" max="9478" width="11.7109375" style="2" customWidth="1"/>
    <col min="9479" max="9479" width="10.5703125" style="2" customWidth="1"/>
    <col min="9480" max="9480" width="9.28515625" style="2" customWidth="1"/>
    <col min="9481" max="9481" width="9.140625" style="2" customWidth="1"/>
    <col min="9482" max="9482" width="11.85546875" style="2" customWidth="1"/>
    <col min="9483" max="9483" width="3.85546875" style="2" customWidth="1"/>
    <col min="9484" max="9726" width="8.5703125" style="2"/>
    <col min="9727" max="9727" width="7.85546875" style="2" customWidth="1"/>
    <col min="9728" max="9728" width="6.5703125" style="2" customWidth="1"/>
    <col min="9729" max="9729" width="6.85546875" style="2" customWidth="1"/>
    <col min="9730" max="9730" width="8" style="2" customWidth="1"/>
    <col min="9731" max="9731" width="3.140625" style="2" customWidth="1"/>
    <col min="9732" max="9732" width="7.7109375" style="2" customWidth="1"/>
    <col min="9733" max="9733" width="5.5703125" style="2" customWidth="1"/>
    <col min="9734" max="9734" width="11.7109375" style="2" customWidth="1"/>
    <col min="9735" max="9735" width="10.5703125" style="2" customWidth="1"/>
    <col min="9736" max="9736" width="9.28515625" style="2" customWidth="1"/>
    <col min="9737" max="9737" width="9.140625" style="2" customWidth="1"/>
    <col min="9738" max="9738" width="11.85546875" style="2" customWidth="1"/>
    <col min="9739" max="9739" width="3.85546875" style="2" customWidth="1"/>
    <col min="9740" max="9982" width="8.5703125" style="2"/>
    <col min="9983" max="9983" width="7.85546875" style="2" customWidth="1"/>
    <col min="9984" max="9984" width="6.5703125" style="2" customWidth="1"/>
    <col min="9985" max="9985" width="6.85546875" style="2" customWidth="1"/>
    <col min="9986" max="9986" width="8" style="2" customWidth="1"/>
    <col min="9987" max="9987" width="3.140625" style="2" customWidth="1"/>
    <col min="9988" max="9988" width="7.7109375" style="2" customWidth="1"/>
    <col min="9989" max="9989" width="5.5703125" style="2" customWidth="1"/>
    <col min="9990" max="9990" width="11.7109375" style="2" customWidth="1"/>
    <col min="9991" max="9991" width="10.5703125" style="2" customWidth="1"/>
    <col min="9992" max="9992" width="9.28515625" style="2" customWidth="1"/>
    <col min="9993" max="9993" width="9.140625" style="2" customWidth="1"/>
    <col min="9994" max="9994" width="11.85546875" style="2" customWidth="1"/>
    <col min="9995" max="9995" width="3.85546875" style="2" customWidth="1"/>
    <col min="9996" max="10238" width="8.5703125" style="2"/>
    <col min="10239" max="10239" width="7.85546875" style="2" customWidth="1"/>
    <col min="10240" max="10240" width="6.5703125" style="2" customWidth="1"/>
    <col min="10241" max="10241" width="6.85546875" style="2" customWidth="1"/>
    <col min="10242" max="10242" width="8" style="2" customWidth="1"/>
    <col min="10243" max="10243" width="3.140625" style="2" customWidth="1"/>
    <col min="10244" max="10244" width="7.7109375" style="2" customWidth="1"/>
    <col min="10245" max="10245" width="5.5703125" style="2" customWidth="1"/>
    <col min="10246" max="10246" width="11.7109375" style="2" customWidth="1"/>
    <col min="10247" max="10247" width="10.5703125" style="2" customWidth="1"/>
    <col min="10248" max="10248" width="9.28515625" style="2" customWidth="1"/>
    <col min="10249" max="10249" width="9.140625" style="2" customWidth="1"/>
    <col min="10250" max="10250" width="11.85546875" style="2" customWidth="1"/>
    <col min="10251" max="10251" width="3.85546875" style="2" customWidth="1"/>
    <col min="10252" max="10494" width="8.5703125" style="2"/>
    <col min="10495" max="10495" width="7.85546875" style="2" customWidth="1"/>
    <col min="10496" max="10496" width="6.5703125" style="2" customWidth="1"/>
    <col min="10497" max="10497" width="6.85546875" style="2" customWidth="1"/>
    <col min="10498" max="10498" width="8" style="2" customWidth="1"/>
    <col min="10499" max="10499" width="3.140625" style="2" customWidth="1"/>
    <col min="10500" max="10500" width="7.7109375" style="2" customWidth="1"/>
    <col min="10501" max="10501" width="5.5703125" style="2" customWidth="1"/>
    <col min="10502" max="10502" width="11.7109375" style="2" customWidth="1"/>
    <col min="10503" max="10503" width="10.5703125" style="2" customWidth="1"/>
    <col min="10504" max="10504" width="9.28515625" style="2" customWidth="1"/>
    <col min="10505" max="10505" width="9.140625" style="2" customWidth="1"/>
    <col min="10506" max="10506" width="11.85546875" style="2" customWidth="1"/>
    <col min="10507" max="10507" width="3.85546875" style="2" customWidth="1"/>
    <col min="10508" max="10750" width="8.5703125" style="2"/>
    <col min="10751" max="10751" width="7.85546875" style="2" customWidth="1"/>
    <col min="10752" max="10752" width="6.5703125" style="2" customWidth="1"/>
    <col min="10753" max="10753" width="6.85546875" style="2" customWidth="1"/>
    <col min="10754" max="10754" width="8" style="2" customWidth="1"/>
    <col min="10755" max="10755" width="3.140625" style="2" customWidth="1"/>
    <col min="10756" max="10756" width="7.7109375" style="2" customWidth="1"/>
    <col min="10757" max="10757" width="5.5703125" style="2" customWidth="1"/>
    <col min="10758" max="10758" width="11.7109375" style="2" customWidth="1"/>
    <col min="10759" max="10759" width="10.5703125" style="2" customWidth="1"/>
    <col min="10760" max="10760" width="9.28515625" style="2" customWidth="1"/>
    <col min="10761" max="10761" width="9.140625" style="2" customWidth="1"/>
    <col min="10762" max="10762" width="11.85546875" style="2" customWidth="1"/>
    <col min="10763" max="10763" width="3.85546875" style="2" customWidth="1"/>
    <col min="10764" max="11006" width="8.5703125" style="2"/>
    <col min="11007" max="11007" width="7.85546875" style="2" customWidth="1"/>
    <col min="11008" max="11008" width="6.5703125" style="2" customWidth="1"/>
    <col min="11009" max="11009" width="6.85546875" style="2" customWidth="1"/>
    <col min="11010" max="11010" width="8" style="2" customWidth="1"/>
    <col min="11011" max="11011" width="3.140625" style="2" customWidth="1"/>
    <col min="11012" max="11012" width="7.7109375" style="2" customWidth="1"/>
    <col min="11013" max="11013" width="5.5703125" style="2" customWidth="1"/>
    <col min="11014" max="11014" width="11.7109375" style="2" customWidth="1"/>
    <col min="11015" max="11015" width="10.5703125" style="2" customWidth="1"/>
    <col min="11016" max="11016" width="9.28515625" style="2" customWidth="1"/>
    <col min="11017" max="11017" width="9.140625" style="2" customWidth="1"/>
    <col min="11018" max="11018" width="11.85546875" style="2" customWidth="1"/>
    <col min="11019" max="11019" width="3.85546875" style="2" customWidth="1"/>
    <col min="11020" max="11262" width="8.5703125" style="2"/>
    <col min="11263" max="11263" width="7.85546875" style="2" customWidth="1"/>
    <col min="11264" max="11264" width="6.5703125" style="2" customWidth="1"/>
    <col min="11265" max="11265" width="6.85546875" style="2" customWidth="1"/>
    <col min="11266" max="11266" width="8" style="2" customWidth="1"/>
    <col min="11267" max="11267" width="3.140625" style="2" customWidth="1"/>
    <col min="11268" max="11268" width="7.7109375" style="2" customWidth="1"/>
    <col min="11269" max="11269" width="5.5703125" style="2" customWidth="1"/>
    <col min="11270" max="11270" width="11.7109375" style="2" customWidth="1"/>
    <col min="11271" max="11271" width="10.5703125" style="2" customWidth="1"/>
    <col min="11272" max="11272" width="9.28515625" style="2" customWidth="1"/>
    <col min="11273" max="11273" width="9.140625" style="2" customWidth="1"/>
    <col min="11274" max="11274" width="11.85546875" style="2" customWidth="1"/>
    <col min="11275" max="11275" width="3.85546875" style="2" customWidth="1"/>
    <col min="11276" max="11518" width="8.5703125" style="2"/>
    <col min="11519" max="11519" width="7.85546875" style="2" customWidth="1"/>
    <col min="11520" max="11520" width="6.5703125" style="2" customWidth="1"/>
    <col min="11521" max="11521" width="6.85546875" style="2" customWidth="1"/>
    <col min="11522" max="11522" width="8" style="2" customWidth="1"/>
    <col min="11523" max="11523" width="3.140625" style="2" customWidth="1"/>
    <col min="11524" max="11524" width="7.7109375" style="2" customWidth="1"/>
    <col min="11525" max="11525" width="5.5703125" style="2" customWidth="1"/>
    <col min="11526" max="11526" width="11.7109375" style="2" customWidth="1"/>
    <col min="11527" max="11527" width="10.5703125" style="2" customWidth="1"/>
    <col min="11528" max="11528" width="9.28515625" style="2" customWidth="1"/>
    <col min="11529" max="11529" width="9.140625" style="2" customWidth="1"/>
    <col min="11530" max="11530" width="11.85546875" style="2" customWidth="1"/>
    <col min="11531" max="11531" width="3.85546875" style="2" customWidth="1"/>
    <col min="11532" max="11774" width="8.5703125" style="2"/>
    <col min="11775" max="11775" width="7.85546875" style="2" customWidth="1"/>
    <col min="11776" max="11776" width="6.5703125" style="2" customWidth="1"/>
    <col min="11777" max="11777" width="6.85546875" style="2" customWidth="1"/>
    <col min="11778" max="11778" width="8" style="2" customWidth="1"/>
    <col min="11779" max="11779" width="3.140625" style="2" customWidth="1"/>
    <col min="11780" max="11780" width="7.7109375" style="2" customWidth="1"/>
    <col min="11781" max="11781" width="5.5703125" style="2" customWidth="1"/>
    <col min="11782" max="11782" width="11.7109375" style="2" customWidth="1"/>
    <col min="11783" max="11783" width="10.5703125" style="2" customWidth="1"/>
    <col min="11784" max="11784" width="9.28515625" style="2" customWidth="1"/>
    <col min="11785" max="11785" width="9.140625" style="2" customWidth="1"/>
    <col min="11786" max="11786" width="11.85546875" style="2" customWidth="1"/>
    <col min="11787" max="11787" width="3.85546875" style="2" customWidth="1"/>
    <col min="11788" max="12030" width="8.5703125" style="2"/>
    <col min="12031" max="12031" width="7.85546875" style="2" customWidth="1"/>
    <col min="12032" max="12032" width="6.5703125" style="2" customWidth="1"/>
    <col min="12033" max="12033" width="6.85546875" style="2" customWidth="1"/>
    <col min="12034" max="12034" width="8" style="2" customWidth="1"/>
    <col min="12035" max="12035" width="3.140625" style="2" customWidth="1"/>
    <col min="12036" max="12036" width="7.7109375" style="2" customWidth="1"/>
    <col min="12037" max="12037" width="5.5703125" style="2" customWidth="1"/>
    <col min="12038" max="12038" width="11.7109375" style="2" customWidth="1"/>
    <col min="12039" max="12039" width="10.5703125" style="2" customWidth="1"/>
    <col min="12040" max="12040" width="9.28515625" style="2" customWidth="1"/>
    <col min="12041" max="12041" width="9.140625" style="2" customWidth="1"/>
    <col min="12042" max="12042" width="11.85546875" style="2" customWidth="1"/>
    <col min="12043" max="12043" width="3.85546875" style="2" customWidth="1"/>
    <col min="12044" max="12286" width="8.5703125" style="2"/>
    <col min="12287" max="12287" width="7.85546875" style="2" customWidth="1"/>
    <col min="12288" max="12288" width="6.5703125" style="2" customWidth="1"/>
    <col min="12289" max="12289" width="6.85546875" style="2" customWidth="1"/>
    <col min="12290" max="12290" width="8" style="2" customWidth="1"/>
    <col min="12291" max="12291" width="3.140625" style="2" customWidth="1"/>
    <col min="12292" max="12292" width="7.7109375" style="2" customWidth="1"/>
    <col min="12293" max="12293" width="5.5703125" style="2" customWidth="1"/>
    <col min="12294" max="12294" width="11.7109375" style="2" customWidth="1"/>
    <col min="12295" max="12295" width="10.5703125" style="2" customWidth="1"/>
    <col min="12296" max="12296" width="9.28515625" style="2" customWidth="1"/>
    <col min="12297" max="12297" width="9.140625" style="2" customWidth="1"/>
    <col min="12298" max="12298" width="11.85546875" style="2" customWidth="1"/>
    <col min="12299" max="12299" width="3.85546875" style="2" customWidth="1"/>
    <col min="12300" max="12542" width="8.5703125" style="2"/>
    <col min="12543" max="12543" width="7.85546875" style="2" customWidth="1"/>
    <col min="12544" max="12544" width="6.5703125" style="2" customWidth="1"/>
    <col min="12545" max="12545" width="6.85546875" style="2" customWidth="1"/>
    <col min="12546" max="12546" width="8" style="2" customWidth="1"/>
    <col min="12547" max="12547" width="3.140625" style="2" customWidth="1"/>
    <col min="12548" max="12548" width="7.7109375" style="2" customWidth="1"/>
    <col min="12549" max="12549" width="5.5703125" style="2" customWidth="1"/>
    <col min="12550" max="12550" width="11.7109375" style="2" customWidth="1"/>
    <col min="12551" max="12551" width="10.5703125" style="2" customWidth="1"/>
    <col min="12552" max="12552" width="9.28515625" style="2" customWidth="1"/>
    <col min="12553" max="12553" width="9.140625" style="2" customWidth="1"/>
    <col min="12554" max="12554" width="11.85546875" style="2" customWidth="1"/>
    <col min="12555" max="12555" width="3.85546875" style="2" customWidth="1"/>
    <col min="12556" max="12798" width="8.5703125" style="2"/>
    <col min="12799" max="12799" width="7.85546875" style="2" customWidth="1"/>
    <col min="12800" max="12800" width="6.5703125" style="2" customWidth="1"/>
    <col min="12801" max="12801" width="6.85546875" style="2" customWidth="1"/>
    <col min="12802" max="12802" width="8" style="2" customWidth="1"/>
    <col min="12803" max="12803" width="3.140625" style="2" customWidth="1"/>
    <col min="12804" max="12804" width="7.7109375" style="2" customWidth="1"/>
    <col min="12805" max="12805" width="5.5703125" style="2" customWidth="1"/>
    <col min="12806" max="12806" width="11.7109375" style="2" customWidth="1"/>
    <col min="12807" max="12807" width="10.5703125" style="2" customWidth="1"/>
    <col min="12808" max="12808" width="9.28515625" style="2" customWidth="1"/>
    <col min="12809" max="12809" width="9.140625" style="2" customWidth="1"/>
    <col min="12810" max="12810" width="11.85546875" style="2" customWidth="1"/>
    <col min="12811" max="12811" width="3.85546875" style="2" customWidth="1"/>
    <col min="12812" max="13054" width="8.5703125" style="2"/>
    <col min="13055" max="13055" width="7.85546875" style="2" customWidth="1"/>
    <col min="13056" max="13056" width="6.5703125" style="2" customWidth="1"/>
    <col min="13057" max="13057" width="6.85546875" style="2" customWidth="1"/>
    <col min="13058" max="13058" width="8" style="2" customWidth="1"/>
    <col min="13059" max="13059" width="3.140625" style="2" customWidth="1"/>
    <col min="13060" max="13060" width="7.7109375" style="2" customWidth="1"/>
    <col min="13061" max="13061" width="5.5703125" style="2" customWidth="1"/>
    <col min="13062" max="13062" width="11.7109375" style="2" customWidth="1"/>
    <col min="13063" max="13063" width="10.5703125" style="2" customWidth="1"/>
    <col min="13064" max="13064" width="9.28515625" style="2" customWidth="1"/>
    <col min="13065" max="13065" width="9.140625" style="2" customWidth="1"/>
    <col min="13066" max="13066" width="11.85546875" style="2" customWidth="1"/>
    <col min="13067" max="13067" width="3.85546875" style="2" customWidth="1"/>
    <col min="13068" max="13310" width="8.5703125" style="2"/>
    <col min="13311" max="13311" width="7.85546875" style="2" customWidth="1"/>
    <col min="13312" max="13312" width="6.5703125" style="2" customWidth="1"/>
    <col min="13313" max="13313" width="6.85546875" style="2" customWidth="1"/>
    <col min="13314" max="13314" width="8" style="2" customWidth="1"/>
    <col min="13315" max="13315" width="3.140625" style="2" customWidth="1"/>
    <col min="13316" max="13316" width="7.7109375" style="2" customWidth="1"/>
    <col min="13317" max="13317" width="5.5703125" style="2" customWidth="1"/>
    <col min="13318" max="13318" width="11.7109375" style="2" customWidth="1"/>
    <col min="13319" max="13319" width="10.5703125" style="2" customWidth="1"/>
    <col min="13320" max="13320" width="9.28515625" style="2" customWidth="1"/>
    <col min="13321" max="13321" width="9.140625" style="2" customWidth="1"/>
    <col min="13322" max="13322" width="11.85546875" style="2" customWidth="1"/>
    <col min="13323" max="13323" width="3.85546875" style="2" customWidth="1"/>
    <col min="13324" max="13566" width="8.5703125" style="2"/>
    <col min="13567" max="13567" width="7.85546875" style="2" customWidth="1"/>
    <col min="13568" max="13568" width="6.5703125" style="2" customWidth="1"/>
    <col min="13569" max="13569" width="6.85546875" style="2" customWidth="1"/>
    <col min="13570" max="13570" width="8" style="2" customWidth="1"/>
    <col min="13571" max="13571" width="3.140625" style="2" customWidth="1"/>
    <col min="13572" max="13572" width="7.7109375" style="2" customWidth="1"/>
    <col min="13573" max="13573" width="5.5703125" style="2" customWidth="1"/>
    <col min="13574" max="13574" width="11.7109375" style="2" customWidth="1"/>
    <col min="13575" max="13575" width="10.5703125" style="2" customWidth="1"/>
    <col min="13576" max="13576" width="9.28515625" style="2" customWidth="1"/>
    <col min="13577" max="13577" width="9.140625" style="2" customWidth="1"/>
    <col min="13578" max="13578" width="11.85546875" style="2" customWidth="1"/>
    <col min="13579" max="13579" width="3.85546875" style="2" customWidth="1"/>
    <col min="13580" max="13822" width="8.5703125" style="2"/>
    <col min="13823" max="13823" width="7.85546875" style="2" customWidth="1"/>
    <col min="13824" max="13824" width="6.5703125" style="2" customWidth="1"/>
    <col min="13825" max="13825" width="6.85546875" style="2" customWidth="1"/>
    <col min="13826" max="13826" width="8" style="2" customWidth="1"/>
    <col min="13827" max="13827" width="3.140625" style="2" customWidth="1"/>
    <col min="13828" max="13828" width="7.7109375" style="2" customWidth="1"/>
    <col min="13829" max="13829" width="5.5703125" style="2" customWidth="1"/>
    <col min="13830" max="13830" width="11.7109375" style="2" customWidth="1"/>
    <col min="13831" max="13831" width="10.5703125" style="2" customWidth="1"/>
    <col min="13832" max="13832" width="9.28515625" style="2" customWidth="1"/>
    <col min="13833" max="13833" width="9.140625" style="2" customWidth="1"/>
    <col min="13834" max="13834" width="11.85546875" style="2" customWidth="1"/>
    <col min="13835" max="13835" width="3.85546875" style="2" customWidth="1"/>
    <col min="13836" max="14078" width="8.5703125" style="2"/>
    <col min="14079" max="14079" width="7.85546875" style="2" customWidth="1"/>
    <col min="14080" max="14080" width="6.5703125" style="2" customWidth="1"/>
    <col min="14081" max="14081" width="6.85546875" style="2" customWidth="1"/>
    <col min="14082" max="14082" width="8" style="2" customWidth="1"/>
    <col min="14083" max="14083" width="3.140625" style="2" customWidth="1"/>
    <col min="14084" max="14084" width="7.7109375" style="2" customWidth="1"/>
    <col min="14085" max="14085" width="5.5703125" style="2" customWidth="1"/>
    <col min="14086" max="14086" width="11.7109375" style="2" customWidth="1"/>
    <col min="14087" max="14087" width="10.5703125" style="2" customWidth="1"/>
    <col min="14088" max="14088" width="9.28515625" style="2" customWidth="1"/>
    <col min="14089" max="14089" width="9.140625" style="2" customWidth="1"/>
    <col min="14090" max="14090" width="11.85546875" style="2" customWidth="1"/>
    <col min="14091" max="14091" width="3.85546875" style="2" customWidth="1"/>
    <col min="14092" max="14334" width="8.5703125" style="2"/>
    <col min="14335" max="14335" width="7.85546875" style="2" customWidth="1"/>
    <col min="14336" max="14336" width="6.5703125" style="2" customWidth="1"/>
    <col min="14337" max="14337" width="6.85546875" style="2" customWidth="1"/>
    <col min="14338" max="14338" width="8" style="2" customWidth="1"/>
    <col min="14339" max="14339" width="3.140625" style="2" customWidth="1"/>
    <col min="14340" max="14340" width="7.7109375" style="2" customWidth="1"/>
    <col min="14341" max="14341" width="5.5703125" style="2" customWidth="1"/>
    <col min="14342" max="14342" width="11.7109375" style="2" customWidth="1"/>
    <col min="14343" max="14343" width="10.5703125" style="2" customWidth="1"/>
    <col min="14344" max="14344" width="9.28515625" style="2" customWidth="1"/>
    <col min="14345" max="14345" width="9.140625" style="2" customWidth="1"/>
    <col min="14346" max="14346" width="11.85546875" style="2" customWidth="1"/>
    <col min="14347" max="14347" width="3.85546875" style="2" customWidth="1"/>
    <col min="14348" max="14590" width="8.5703125" style="2"/>
    <col min="14591" max="14591" width="7.85546875" style="2" customWidth="1"/>
    <col min="14592" max="14592" width="6.5703125" style="2" customWidth="1"/>
    <col min="14593" max="14593" width="6.85546875" style="2" customWidth="1"/>
    <col min="14594" max="14594" width="8" style="2" customWidth="1"/>
    <col min="14595" max="14595" width="3.140625" style="2" customWidth="1"/>
    <col min="14596" max="14596" width="7.7109375" style="2" customWidth="1"/>
    <col min="14597" max="14597" width="5.5703125" style="2" customWidth="1"/>
    <col min="14598" max="14598" width="11.7109375" style="2" customWidth="1"/>
    <col min="14599" max="14599" width="10.5703125" style="2" customWidth="1"/>
    <col min="14600" max="14600" width="9.28515625" style="2" customWidth="1"/>
    <col min="14601" max="14601" width="9.140625" style="2" customWidth="1"/>
    <col min="14602" max="14602" width="11.85546875" style="2" customWidth="1"/>
    <col min="14603" max="14603" width="3.85546875" style="2" customWidth="1"/>
    <col min="14604" max="14846" width="8.5703125" style="2"/>
    <col min="14847" max="14847" width="7.85546875" style="2" customWidth="1"/>
    <col min="14848" max="14848" width="6.5703125" style="2" customWidth="1"/>
    <col min="14849" max="14849" width="6.85546875" style="2" customWidth="1"/>
    <col min="14850" max="14850" width="8" style="2" customWidth="1"/>
    <col min="14851" max="14851" width="3.140625" style="2" customWidth="1"/>
    <col min="14852" max="14852" width="7.7109375" style="2" customWidth="1"/>
    <col min="14853" max="14853" width="5.5703125" style="2" customWidth="1"/>
    <col min="14854" max="14854" width="11.7109375" style="2" customWidth="1"/>
    <col min="14855" max="14855" width="10.5703125" style="2" customWidth="1"/>
    <col min="14856" max="14856" width="9.28515625" style="2" customWidth="1"/>
    <col min="14857" max="14857" width="9.140625" style="2" customWidth="1"/>
    <col min="14858" max="14858" width="11.85546875" style="2" customWidth="1"/>
    <col min="14859" max="14859" width="3.85546875" style="2" customWidth="1"/>
    <col min="14860" max="15102" width="8.5703125" style="2"/>
    <col min="15103" max="15103" width="7.85546875" style="2" customWidth="1"/>
    <col min="15104" max="15104" width="6.5703125" style="2" customWidth="1"/>
    <col min="15105" max="15105" width="6.85546875" style="2" customWidth="1"/>
    <col min="15106" max="15106" width="8" style="2" customWidth="1"/>
    <col min="15107" max="15107" width="3.140625" style="2" customWidth="1"/>
    <col min="15108" max="15108" width="7.7109375" style="2" customWidth="1"/>
    <col min="15109" max="15109" width="5.5703125" style="2" customWidth="1"/>
    <col min="15110" max="15110" width="11.7109375" style="2" customWidth="1"/>
    <col min="15111" max="15111" width="10.5703125" style="2" customWidth="1"/>
    <col min="15112" max="15112" width="9.28515625" style="2" customWidth="1"/>
    <col min="15113" max="15113" width="9.140625" style="2" customWidth="1"/>
    <col min="15114" max="15114" width="11.85546875" style="2" customWidth="1"/>
    <col min="15115" max="15115" width="3.85546875" style="2" customWidth="1"/>
    <col min="15116" max="15358" width="8.5703125" style="2"/>
    <col min="15359" max="15359" width="7.85546875" style="2" customWidth="1"/>
    <col min="15360" max="15360" width="6.5703125" style="2" customWidth="1"/>
    <col min="15361" max="15361" width="6.85546875" style="2" customWidth="1"/>
    <col min="15362" max="15362" width="8" style="2" customWidth="1"/>
    <col min="15363" max="15363" width="3.140625" style="2" customWidth="1"/>
    <col min="15364" max="15364" width="7.7109375" style="2" customWidth="1"/>
    <col min="15365" max="15365" width="5.5703125" style="2" customWidth="1"/>
    <col min="15366" max="15366" width="11.7109375" style="2" customWidth="1"/>
    <col min="15367" max="15367" width="10.5703125" style="2" customWidth="1"/>
    <col min="15368" max="15368" width="9.28515625" style="2" customWidth="1"/>
    <col min="15369" max="15369" width="9.140625" style="2" customWidth="1"/>
    <col min="15370" max="15370" width="11.85546875" style="2" customWidth="1"/>
    <col min="15371" max="15371" width="3.85546875" style="2" customWidth="1"/>
    <col min="15372" max="15614" width="8.5703125" style="2"/>
    <col min="15615" max="15615" width="7.85546875" style="2" customWidth="1"/>
    <col min="15616" max="15616" width="6.5703125" style="2" customWidth="1"/>
    <col min="15617" max="15617" width="6.85546875" style="2" customWidth="1"/>
    <col min="15618" max="15618" width="8" style="2" customWidth="1"/>
    <col min="15619" max="15619" width="3.140625" style="2" customWidth="1"/>
    <col min="15620" max="15620" width="7.7109375" style="2" customWidth="1"/>
    <col min="15621" max="15621" width="5.5703125" style="2" customWidth="1"/>
    <col min="15622" max="15622" width="11.7109375" style="2" customWidth="1"/>
    <col min="15623" max="15623" width="10.5703125" style="2" customWidth="1"/>
    <col min="15624" max="15624" width="9.28515625" style="2" customWidth="1"/>
    <col min="15625" max="15625" width="9.140625" style="2" customWidth="1"/>
    <col min="15626" max="15626" width="11.85546875" style="2" customWidth="1"/>
    <col min="15627" max="15627" width="3.85546875" style="2" customWidth="1"/>
    <col min="15628" max="15870" width="8.5703125" style="2"/>
    <col min="15871" max="15871" width="7.85546875" style="2" customWidth="1"/>
    <col min="15872" max="15872" width="6.5703125" style="2" customWidth="1"/>
    <col min="15873" max="15873" width="6.85546875" style="2" customWidth="1"/>
    <col min="15874" max="15874" width="8" style="2" customWidth="1"/>
    <col min="15875" max="15875" width="3.140625" style="2" customWidth="1"/>
    <col min="15876" max="15876" width="7.7109375" style="2" customWidth="1"/>
    <col min="15877" max="15877" width="5.5703125" style="2" customWidth="1"/>
    <col min="15878" max="15878" width="11.7109375" style="2" customWidth="1"/>
    <col min="15879" max="15879" width="10.5703125" style="2" customWidth="1"/>
    <col min="15880" max="15880" width="9.28515625" style="2" customWidth="1"/>
    <col min="15881" max="15881" width="9.140625" style="2" customWidth="1"/>
    <col min="15882" max="15882" width="11.85546875" style="2" customWidth="1"/>
    <col min="15883" max="15883" width="3.85546875" style="2" customWidth="1"/>
    <col min="15884" max="16126" width="8.5703125" style="2"/>
    <col min="16127" max="16127" width="7.85546875" style="2" customWidth="1"/>
    <col min="16128" max="16128" width="6.5703125" style="2" customWidth="1"/>
    <col min="16129" max="16129" width="6.85546875" style="2" customWidth="1"/>
    <col min="16130" max="16130" width="8" style="2" customWidth="1"/>
    <col min="16131" max="16131" width="3.140625" style="2" customWidth="1"/>
    <col min="16132" max="16132" width="7.7109375" style="2" customWidth="1"/>
    <col min="16133" max="16133" width="5.5703125" style="2" customWidth="1"/>
    <col min="16134" max="16134" width="11.7109375" style="2" customWidth="1"/>
    <col min="16135" max="16135" width="10.5703125" style="2" customWidth="1"/>
    <col min="16136" max="16136" width="9.28515625" style="2" customWidth="1"/>
    <col min="16137" max="16137" width="9.140625" style="2" customWidth="1"/>
    <col min="16138" max="16138" width="11.85546875" style="2" customWidth="1"/>
    <col min="16139" max="16139" width="3.85546875" style="2" customWidth="1"/>
    <col min="16140" max="16384" width="8.5703125" style="2"/>
  </cols>
  <sheetData>
    <row r="1" spans="1:12" ht="21.75" customHeight="1" x14ac:dyDescent="0.45">
      <c r="A1" s="1"/>
      <c r="B1" s="2"/>
      <c r="C1" s="47"/>
      <c r="D1" s="47"/>
      <c r="E1" s="47"/>
      <c r="F1" s="47"/>
      <c r="G1" s="47"/>
      <c r="H1" s="47"/>
      <c r="I1" s="47"/>
      <c r="J1" s="35"/>
      <c r="K1" s="35"/>
    </row>
    <row r="2" spans="1:12" ht="21.75" customHeight="1" x14ac:dyDescent="0.45">
      <c r="A2" s="1"/>
      <c r="B2" s="2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1.75" customHeight="1" x14ac:dyDescent="0.45">
      <c r="A3" s="1"/>
      <c r="B3" s="2"/>
      <c r="C3" s="48"/>
      <c r="D3" s="48"/>
      <c r="E3" s="48"/>
      <c r="F3" s="48"/>
      <c r="G3" s="48"/>
      <c r="H3" s="48"/>
      <c r="I3" s="48"/>
      <c r="J3" s="35"/>
      <c r="K3" s="35"/>
    </row>
    <row r="4" spans="1:12" ht="21.75" customHeight="1" x14ac:dyDescent="0.45">
      <c r="A4" s="1"/>
      <c r="B4" s="2"/>
      <c r="C4" s="47"/>
      <c r="D4" s="47"/>
      <c r="E4" s="47"/>
      <c r="F4" s="47"/>
      <c r="G4" s="47"/>
      <c r="H4" s="47"/>
      <c r="I4" s="47"/>
      <c r="J4" s="35"/>
      <c r="K4" s="35"/>
    </row>
    <row r="5" spans="1:12" ht="21.75" customHeight="1" x14ac:dyDescent="0.45">
      <c r="A5" s="1"/>
      <c r="B5" s="2"/>
      <c r="C5" s="47"/>
      <c r="D5" s="47"/>
      <c r="E5" s="47"/>
      <c r="F5" s="47"/>
      <c r="G5" s="47"/>
      <c r="H5" s="47"/>
      <c r="I5" s="34"/>
      <c r="J5" s="34"/>
      <c r="K5" s="34"/>
    </row>
    <row r="6" spans="1:12" ht="37.5" customHeight="1" x14ac:dyDescent="0.45">
      <c r="A6" s="1"/>
      <c r="B6" s="2"/>
      <c r="D6" s="34"/>
      <c r="E6" s="34"/>
      <c r="F6" s="34"/>
      <c r="G6" s="34"/>
      <c r="H6" s="34"/>
      <c r="I6" s="34"/>
      <c r="J6" s="34"/>
      <c r="K6" s="34"/>
    </row>
    <row r="7" spans="1:12" ht="20.25" customHeight="1" x14ac:dyDescent="0.45">
      <c r="A7" s="3"/>
      <c r="B7" s="3" t="s">
        <v>2</v>
      </c>
      <c r="C7" s="3"/>
      <c r="D7" s="3"/>
      <c r="E7" s="3"/>
      <c r="F7" s="4"/>
      <c r="G7" s="3"/>
      <c r="H7" s="5"/>
      <c r="I7" s="5"/>
      <c r="J7" s="6">
        <v>243861</v>
      </c>
      <c r="K7" s="6"/>
      <c r="L7" s="7"/>
    </row>
    <row r="8" spans="1:12" ht="18" customHeight="1" x14ac:dyDescent="0.45">
      <c r="A8" s="3"/>
      <c r="B8" s="3" t="s">
        <v>3</v>
      </c>
      <c r="C8" s="8"/>
      <c r="D8" s="8"/>
      <c r="E8" s="8"/>
      <c r="F8" s="8"/>
      <c r="G8" s="8"/>
      <c r="H8" s="9"/>
      <c r="I8" s="9"/>
      <c r="J8" s="10" t="s">
        <v>59</v>
      </c>
      <c r="K8" s="10"/>
      <c r="L8" s="11"/>
    </row>
    <row r="9" spans="1:12" ht="18.75" customHeight="1" x14ac:dyDescent="0.45">
      <c r="A9" s="3"/>
      <c r="B9" s="38" t="s">
        <v>4</v>
      </c>
      <c r="C9" s="8"/>
      <c r="D9" s="8"/>
      <c r="E9" s="8"/>
      <c r="F9" s="8"/>
      <c r="G9" s="8"/>
      <c r="H9" s="9"/>
      <c r="I9" s="9"/>
      <c r="J9" s="10" t="s">
        <v>1</v>
      </c>
      <c r="K9" s="10"/>
      <c r="L9" s="12"/>
    </row>
    <row r="10" spans="1:12" ht="17.25" customHeight="1" x14ac:dyDescent="0.45">
      <c r="A10" s="3"/>
      <c r="B10" s="8"/>
      <c r="C10" s="8"/>
      <c r="D10" s="8"/>
      <c r="E10" s="8"/>
      <c r="F10" s="8"/>
      <c r="G10" s="8"/>
      <c r="H10" s="9"/>
      <c r="I10" s="9"/>
      <c r="J10" s="37" t="s">
        <v>0</v>
      </c>
      <c r="K10" s="37"/>
      <c r="L10" s="12"/>
    </row>
    <row r="11" spans="1:12" ht="19.5" customHeight="1" x14ac:dyDescent="0.45">
      <c r="A11" s="3"/>
      <c r="B11" s="8" t="s">
        <v>5</v>
      </c>
      <c r="C11" s="8"/>
      <c r="D11" s="13"/>
      <c r="E11" s="8"/>
      <c r="F11" s="8"/>
      <c r="G11" s="8"/>
      <c r="H11" s="9"/>
      <c r="I11" s="9"/>
      <c r="J11" s="10"/>
      <c r="K11" s="10"/>
      <c r="L11" s="11"/>
    </row>
    <row r="12" spans="1:12" ht="27.75" customHeight="1" x14ac:dyDescent="0.45">
      <c r="A12" s="14"/>
      <c r="B12" s="8"/>
      <c r="C12" s="15"/>
      <c r="D12" s="13"/>
      <c r="E12" s="13"/>
      <c r="F12" s="13"/>
      <c r="G12" s="16"/>
      <c r="H12" s="17"/>
      <c r="I12" s="17"/>
      <c r="J12" s="17"/>
      <c r="K12" s="17"/>
      <c r="L12" s="17"/>
    </row>
    <row r="13" spans="1:12" ht="21.75" customHeight="1" x14ac:dyDescent="0.45">
      <c r="A13" s="18"/>
      <c r="B13" s="20"/>
      <c r="C13" s="20"/>
      <c r="D13" s="20"/>
      <c r="E13" s="20"/>
      <c r="F13" s="20"/>
      <c r="G13" s="20"/>
      <c r="H13" s="19"/>
      <c r="I13" s="19"/>
      <c r="J13" s="19"/>
      <c r="K13" s="19"/>
      <c r="L13" s="20"/>
    </row>
    <row r="14" spans="1:12" ht="21.75" customHeight="1" x14ac:dyDescent="0.45">
      <c r="A14" s="18"/>
      <c r="B14" s="20"/>
      <c r="C14" s="42" t="s">
        <v>6</v>
      </c>
      <c r="D14" s="20"/>
      <c r="E14" s="20"/>
      <c r="F14" s="20"/>
      <c r="G14" s="20"/>
      <c r="H14" s="43">
        <v>100</v>
      </c>
      <c r="I14" s="44"/>
      <c r="J14" s="43">
        <v>120</v>
      </c>
      <c r="K14" s="19"/>
      <c r="L14" s="20">
        <f>J14*H14</f>
        <v>12000</v>
      </c>
    </row>
    <row r="15" spans="1:12" ht="21.75" customHeight="1" x14ac:dyDescent="0.45">
      <c r="A15" s="18"/>
      <c r="B15" s="20"/>
      <c r="C15" s="42" t="s">
        <v>9</v>
      </c>
      <c r="D15" s="20"/>
      <c r="E15" s="20"/>
      <c r="F15" s="20"/>
      <c r="G15" s="20"/>
      <c r="H15" s="43">
        <v>80</v>
      </c>
      <c r="I15" s="44"/>
      <c r="J15" s="43">
        <v>270</v>
      </c>
      <c r="K15" s="19"/>
      <c r="L15" s="20">
        <f>J15*H15</f>
        <v>21600</v>
      </c>
    </row>
    <row r="16" spans="1:12" ht="21.75" customHeight="1" x14ac:dyDescent="0.45">
      <c r="A16" s="18"/>
      <c r="B16" s="20"/>
      <c r="C16" s="39"/>
      <c r="D16" s="20"/>
      <c r="E16" s="20"/>
      <c r="F16" s="20"/>
      <c r="G16" s="20"/>
      <c r="H16" s="40"/>
      <c r="I16" s="41"/>
      <c r="J16" s="31"/>
      <c r="K16" s="19"/>
      <c r="L16" s="20"/>
    </row>
    <row r="17" spans="1:12" ht="21.75" customHeight="1" x14ac:dyDescent="0.45">
      <c r="A17" s="18"/>
      <c r="B17" s="20"/>
      <c r="C17" s="39"/>
      <c r="D17" s="20"/>
      <c r="E17" s="20"/>
      <c r="F17" s="20"/>
      <c r="G17" s="20"/>
      <c r="H17" s="40"/>
      <c r="I17" s="41"/>
      <c r="J17" s="31"/>
      <c r="K17" s="19"/>
      <c r="L17" s="20"/>
    </row>
    <row r="18" spans="1:12" ht="21.75" customHeight="1" x14ac:dyDescent="0.45">
      <c r="A18" s="18"/>
      <c r="B18" s="20"/>
      <c r="C18" s="39"/>
      <c r="D18" s="20"/>
      <c r="E18" s="20"/>
      <c r="F18" s="20"/>
      <c r="G18" s="20"/>
      <c r="H18" s="40"/>
      <c r="I18" s="41"/>
      <c r="J18" s="31"/>
      <c r="K18" s="19"/>
      <c r="L18" s="20"/>
    </row>
    <row r="19" spans="1:12" ht="21.75" customHeight="1" x14ac:dyDescent="0.45">
      <c r="A19" s="14"/>
      <c r="B19" s="20"/>
      <c r="C19" s="20"/>
      <c r="D19" s="20"/>
      <c r="E19" s="20"/>
      <c r="F19" s="20"/>
      <c r="G19" s="20"/>
      <c r="H19" s="36"/>
      <c r="I19" s="31"/>
      <c r="J19" s="19"/>
      <c r="K19" s="19"/>
      <c r="L19" s="20"/>
    </row>
    <row r="20" spans="1:12" ht="21.75" customHeight="1" x14ac:dyDescent="0.45">
      <c r="A20" s="14"/>
      <c r="B20" s="20"/>
      <c r="C20" s="20"/>
      <c r="D20" s="20"/>
      <c r="E20" s="20"/>
      <c r="F20" s="20"/>
      <c r="G20" s="20"/>
      <c r="H20" s="36"/>
      <c r="I20" s="31"/>
      <c r="J20" s="19"/>
      <c r="K20" s="19"/>
      <c r="L20" s="20"/>
    </row>
    <row r="21" spans="1:12" ht="21.75" customHeight="1" x14ac:dyDescent="0.45">
      <c r="A21" s="14"/>
      <c r="B21" s="20"/>
      <c r="C21" s="20"/>
      <c r="D21" s="20"/>
      <c r="E21" s="20"/>
      <c r="F21" s="20"/>
      <c r="G21" s="20"/>
      <c r="H21" s="36"/>
      <c r="I21" s="31"/>
      <c r="J21" s="19"/>
      <c r="K21" s="19"/>
      <c r="L21" s="20"/>
    </row>
    <row r="22" spans="1:12" ht="21.75" customHeight="1" x14ac:dyDescent="0.45">
      <c r="A22" s="14"/>
      <c r="B22" s="20"/>
      <c r="C22" s="20"/>
      <c r="D22" s="20"/>
      <c r="E22" s="20"/>
      <c r="F22" s="20"/>
      <c r="G22" s="20"/>
      <c r="H22" s="36"/>
      <c r="I22" s="31"/>
      <c r="J22" s="19"/>
      <c r="K22" s="19"/>
      <c r="L22" s="20"/>
    </row>
    <row r="23" spans="1:12" ht="21.75" customHeight="1" x14ac:dyDescent="0.45">
      <c r="A23" s="14"/>
      <c r="B23" s="20"/>
      <c r="C23" s="20"/>
      <c r="D23" s="20"/>
      <c r="E23" s="20"/>
      <c r="F23" s="20"/>
      <c r="G23" s="20"/>
      <c r="H23" s="19"/>
      <c r="I23" s="19"/>
      <c r="J23" s="19"/>
      <c r="K23" s="19"/>
      <c r="L23" s="20"/>
    </row>
    <row r="24" spans="1:12" ht="21.75" customHeight="1" x14ac:dyDescent="0.45">
      <c r="A24" s="14"/>
      <c r="B24" s="20"/>
      <c r="C24" s="20"/>
      <c r="D24" s="20"/>
      <c r="E24" s="20"/>
      <c r="F24" s="20"/>
      <c r="G24" s="20"/>
      <c r="H24" s="19"/>
      <c r="I24" s="19"/>
      <c r="J24" s="19"/>
      <c r="K24" s="19"/>
      <c r="L24" s="20"/>
    </row>
    <row r="25" spans="1:12" ht="21.75" customHeight="1" x14ac:dyDescent="0.45">
      <c r="A25" s="14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20"/>
    </row>
    <row r="26" spans="1:12" ht="21.75" customHeight="1" x14ac:dyDescent="0.45">
      <c r="A26" s="14"/>
      <c r="B26" s="20"/>
      <c r="C26" s="20"/>
      <c r="D26" s="20"/>
      <c r="E26" s="20"/>
      <c r="F26" s="20"/>
      <c r="G26" s="20"/>
      <c r="H26" s="19"/>
      <c r="I26" s="19"/>
      <c r="J26" s="19"/>
      <c r="K26" s="19"/>
      <c r="L26" s="20"/>
    </row>
    <row r="27" spans="1:12" ht="21.75" customHeight="1" x14ac:dyDescent="0.45">
      <c r="A27" s="14"/>
      <c r="B27" s="20"/>
      <c r="C27" s="20"/>
      <c r="D27" s="20"/>
      <c r="E27" s="20"/>
      <c r="F27" s="20"/>
      <c r="G27" s="20"/>
      <c r="H27" s="19"/>
      <c r="I27" s="19"/>
      <c r="J27" s="19"/>
      <c r="K27" s="19"/>
      <c r="L27" s="20"/>
    </row>
    <row r="28" spans="1:12" ht="21.75" customHeight="1" x14ac:dyDescent="0.45">
      <c r="A28" s="18"/>
      <c r="B28" s="32"/>
      <c r="C28" s="32"/>
      <c r="D28" s="32"/>
      <c r="E28" s="32"/>
      <c r="F28" s="32"/>
      <c r="G28" s="32"/>
      <c r="H28" s="19"/>
      <c r="I28" s="19"/>
      <c r="J28" s="19"/>
      <c r="K28" s="19"/>
      <c r="L28" s="20"/>
    </row>
    <row r="29" spans="1:12" ht="13.5" customHeight="1" x14ac:dyDescent="0.45">
      <c r="A29" s="18"/>
      <c r="B29" s="32"/>
      <c r="C29" s="32"/>
      <c r="D29" s="32"/>
      <c r="E29" s="32"/>
      <c r="F29" s="32"/>
      <c r="G29" s="32"/>
      <c r="H29" s="19"/>
      <c r="I29" s="19"/>
      <c r="J29" s="19"/>
      <c r="K29" s="19"/>
      <c r="L29" s="20"/>
    </row>
    <row r="30" spans="1:12" ht="21.75" customHeight="1" x14ac:dyDescent="0.45">
      <c r="A30" s="46" t="str">
        <f>"("&amp;BAHTTEXT(L32)&amp;")"</f>
        <v>(สามหมื่นห้าพันเก้าร้อยห้าสิบสองบาทถ้วน)</v>
      </c>
      <c r="B30" s="46"/>
      <c r="C30" s="46"/>
      <c r="D30" s="46"/>
      <c r="E30" s="46"/>
      <c r="F30" s="46"/>
      <c r="G30" s="46"/>
      <c r="H30" s="46"/>
      <c r="I30" s="21"/>
      <c r="J30" s="21"/>
      <c r="K30" s="21"/>
      <c r="L30" s="21">
        <f>SUM(L13:L28)</f>
        <v>33600</v>
      </c>
    </row>
    <row r="31" spans="1:12" ht="25.5" customHeight="1" x14ac:dyDescent="0.45">
      <c r="A31" s="18"/>
      <c r="B31" s="21"/>
      <c r="C31" s="21"/>
      <c r="D31" s="21"/>
      <c r="E31" s="21"/>
      <c r="F31" s="21"/>
      <c r="G31" s="21"/>
      <c r="H31" s="21"/>
      <c r="I31" s="21"/>
      <c r="K31" s="22">
        <v>7.0000000000000007E-2</v>
      </c>
      <c r="L31" s="21">
        <f>L30*7%</f>
        <v>2352</v>
      </c>
    </row>
    <row r="32" spans="1:12" ht="28.5" customHeight="1" x14ac:dyDescent="0.45">
      <c r="A32" s="33"/>
      <c r="B32" s="33"/>
      <c r="C32" s="33"/>
      <c r="D32" s="33"/>
      <c r="E32" s="33"/>
      <c r="F32" s="33"/>
      <c r="G32" s="33"/>
      <c r="H32" s="33"/>
      <c r="I32" s="21"/>
      <c r="J32" s="21"/>
      <c r="K32" s="21"/>
      <c r="L32" s="21">
        <f>SUM(L30:L31)</f>
        <v>35952</v>
      </c>
    </row>
    <row r="33" spans="2:11" ht="18.75" customHeight="1" x14ac:dyDescent="0.45">
      <c r="B33" s="23"/>
      <c r="C33" s="23"/>
      <c r="D33" s="23"/>
      <c r="E33" s="23"/>
      <c r="F33" s="23"/>
      <c r="G33" s="23"/>
      <c r="H33" s="21"/>
      <c r="I33" s="21"/>
      <c r="J33" s="21"/>
      <c r="K33" s="21"/>
    </row>
    <row r="34" spans="2:11" ht="18.75" customHeight="1" x14ac:dyDescent="0.45">
      <c r="B34" s="18"/>
      <c r="C34" s="21"/>
      <c r="D34" s="21"/>
      <c r="E34" s="21"/>
      <c r="F34" s="21"/>
      <c r="G34" s="21"/>
      <c r="H34" s="21"/>
      <c r="I34" s="24"/>
      <c r="J34" s="21"/>
      <c r="K34" s="21"/>
    </row>
    <row r="35" spans="2:11" ht="22.5" customHeight="1" x14ac:dyDescent="0.45">
      <c r="B35" s="46"/>
      <c r="C35" s="46"/>
      <c r="D35" s="46"/>
      <c r="E35" s="46"/>
      <c r="F35" s="46"/>
      <c r="G35" s="46"/>
      <c r="H35" s="25"/>
      <c r="I35" s="25"/>
      <c r="J35" s="21"/>
      <c r="K35" s="21"/>
    </row>
    <row r="36" spans="2:11" ht="24.95" customHeight="1" x14ac:dyDescent="0.45">
      <c r="B36" s="14"/>
      <c r="C36" s="26"/>
      <c r="D36" s="26"/>
      <c r="E36" s="26"/>
      <c r="F36" s="26"/>
      <c r="G36" s="26"/>
      <c r="H36" s="27"/>
      <c r="I36" s="27"/>
      <c r="J36" s="28"/>
      <c r="K36" s="28"/>
    </row>
    <row r="37" spans="2:11" ht="26.25" customHeight="1" x14ac:dyDescent="0.45">
      <c r="B37" s="14"/>
      <c r="C37" s="18"/>
      <c r="D37" s="18"/>
      <c r="E37" s="18"/>
      <c r="F37" s="18"/>
      <c r="G37" s="18"/>
      <c r="H37" s="21"/>
      <c r="I37" s="21"/>
      <c r="J37" s="28"/>
      <c r="K37" s="28"/>
    </row>
    <row r="38" spans="2:11" ht="24.95" customHeight="1" x14ac:dyDescent="0.45">
      <c r="D38" s="29"/>
      <c r="E38" s="29"/>
      <c r="F38" s="29"/>
      <c r="G38" s="29"/>
      <c r="H38" s="29"/>
      <c r="I38" s="29"/>
      <c r="J38" s="29"/>
      <c r="K38" s="29"/>
    </row>
    <row r="39" spans="2:11" ht="24.95" customHeight="1" x14ac:dyDescent="0.45"/>
  </sheetData>
  <mergeCells count="7">
    <mergeCell ref="B35:G35"/>
    <mergeCell ref="C1:I1"/>
    <mergeCell ref="C2:L2"/>
    <mergeCell ref="C3:I3"/>
    <mergeCell ref="C4:I4"/>
    <mergeCell ref="C5:H5"/>
    <mergeCell ref="A30:H30"/>
  </mergeCells>
  <pageMargins left="0" right="0.19685039370078741" top="0" bottom="0.39370078740157483" header="0.31496062992125984" footer="0.31496062992125984"/>
  <pageSetup paperSize="161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2</vt:lpstr>
      <vt:lpstr>3</vt:lpstr>
      <vt:lpstr>5</vt:lpstr>
      <vt:lpstr>3 (2)</vt:lpstr>
      <vt:lpstr>6</vt:lpstr>
      <vt:lpstr>5 (2)</vt:lpstr>
      <vt:lpstr>5 (3)</vt:lpstr>
      <vt:lpstr>6 (2)</vt:lpstr>
      <vt:lpstr>7</vt:lpstr>
      <vt:lpstr>7 (2)</vt:lpstr>
      <vt:lpstr>7 (3)</vt:lpstr>
      <vt:lpstr>8</vt:lpstr>
      <vt:lpstr>8 (2)</vt:lpstr>
      <vt:lpstr>9</vt:lpstr>
      <vt:lpstr>9 (2)</vt:lpstr>
      <vt:lpstr>10</vt:lpstr>
      <vt:lpstr>10 (2)</vt:lpstr>
      <vt:lpstr>10 (3)</vt:lpstr>
      <vt:lpstr>13</vt:lpstr>
      <vt:lpstr>13 (2)</vt:lpstr>
      <vt:lpstr>13 (3)</vt:lpstr>
      <vt:lpstr>14</vt:lpstr>
      <vt:lpstr>14 (2)</vt:lpstr>
      <vt:lpstr>14 (3)</vt:lpstr>
      <vt:lpstr>14 (4)</vt:lpstr>
      <vt:lpstr>15</vt:lpstr>
      <vt:lpstr>15 (2)</vt:lpstr>
      <vt:lpstr>16</vt:lpstr>
      <vt:lpstr>19</vt:lpstr>
      <vt:lpstr>16 (2)</vt:lpstr>
      <vt:lpstr>19 (2)</vt:lpstr>
      <vt:lpstr>19 (3)</vt:lpstr>
      <vt:lpstr>20</vt:lpstr>
      <vt:lpstr>20 (2)</vt:lpstr>
      <vt:lpstr>20 (3)</vt:lpstr>
      <vt:lpstr>21</vt:lpstr>
      <vt:lpstr>23</vt:lpstr>
      <vt:lpstr>21 (2)</vt:lpstr>
      <vt:lpstr>22</vt:lpstr>
      <vt:lpstr>22 (2)</vt:lpstr>
      <vt:lpstr>24</vt:lpstr>
      <vt:lpstr>24 (2)</vt:lpstr>
      <vt:lpstr>23 (2)</vt:lpstr>
      <vt:lpstr>24 (3)</vt:lpstr>
      <vt:lpstr>26</vt:lpstr>
      <vt:lpstr>26 (2)</vt:lpstr>
      <vt:lpstr>31</vt:lpstr>
      <vt:lpstr>26 (3)</vt:lpstr>
      <vt:lpstr>30</vt:lpstr>
      <vt:lpstr>31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AdminPooh</dc:creator>
  <cp:lastModifiedBy>Acc01 Thanin</cp:lastModifiedBy>
  <cp:lastPrinted>2023-06-27T08:20:39Z</cp:lastPrinted>
  <dcterms:created xsi:type="dcterms:W3CDTF">2020-01-08T06:13:01Z</dcterms:created>
  <dcterms:modified xsi:type="dcterms:W3CDTF">2026-05-27T06:00:55Z</dcterms:modified>
</cp:coreProperties>
</file>